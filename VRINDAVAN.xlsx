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Users\Brij Dadhich\Desktop\"/>
    </mc:Choice>
  </mc:AlternateContent>
  <xr:revisionPtr revIDLastSave="0" documentId="13_ncr:1_{4B5E6315-27E3-4081-A05B-7F2ACD6664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OOM LIST" sheetId="8" r:id="rId1"/>
    <sheet name="FINAL" sheetId="17" r:id="rId2"/>
  </sheets>
  <definedNames>
    <definedName name="_xlnm._FilterDatabase" localSheetId="1" hidden="1">FINAL!$A$2:$D$2</definedName>
    <definedName name="_xlnm._FilterDatabase" localSheetId="0" hidden="1">'ROOM LIST'!$A$2:$L$2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3" i="17" l="1"/>
  <c r="I38" i="17"/>
  <c r="M38" i="17" s="1"/>
  <c r="I24" i="17"/>
  <c r="M24" i="17" s="1"/>
  <c r="N3" i="17"/>
  <c r="I3" i="17"/>
  <c r="M3" i="17" s="1"/>
</calcChain>
</file>

<file path=xl/sharedStrings.xml><?xml version="1.0" encoding="utf-8"?>
<sst xmlns="http://schemas.openxmlformats.org/spreadsheetml/2006/main" count="871" uniqueCount="285">
  <si>
    <t>BHABHIJI</t>
  </si>
  <si>
    <t>CHETNA</t>
  </si>
  <si>
    <t>SHOBHANA</t>
  </si>
  <si>
    <t>VIKASH</t>
  </si>
  <si>
    <t>ANURADHA</t>
  </si>
  <si>
    <t>KAKIJI</t>
  </si>
  <si>
    <t>TARA</t>
  </si>
  <si>
    <t>KAVITA</t>
  </si>
  <si>
    <t>GAJENDRAJI</t>
  </si>
  <si>
    <t>DINESHJI</t>
  </si>
  <si>
    <t>HEMA</t>
  </si>
  <si>
    <t>MAHESH</t>
  </si>
  <si>
    <t>BILLU JIJI</t>
  </si>
  <si>
    <t>SAROJ BHUWAJI</t>
  </si>
  <si>
    <t>MANISH</t>
  </si>
  <si>
    <t>SUNILJI</t>
  </si>
  <si>
    <t>BABU KAKOJI</t>
  </si>
  <si>
    <t>RAKESH</t>
  </si>
  <si>
    <t>RACHITA</t>
  </si>
  <si>
    <t>ROOPAM</t>
  </si>
  <si>
    <t>GUTTU</t>
  </si>
  <si>
    <t>NEHA</t>
  </si>
  <si>
    <t>BANWARI</t>
  </si>
  <si>
    <t>RINKU</t>
  </si>
  <si>
    <t>VISHNU</t>
  </si>
  <si>
    <t>VASU</t>
  </si>
  <si>
    <t>RAKHI</t>
  </si>
  <si>
    <t>DADIJI</t>
  </si>
  <si>
    <t>SAYAR KAKOJI</t>
  </si>
  <si>
    <t>SANGEETA</t>
  </si>
  <si>
    <t>JUGAL KAKOJI</t>
  </si>
  <si>
    <t>PRAMILA BHUWAJI</t>
  </si>
  <si>
    <t>KRISHNA</t>
  </si>
  <si>
    <t>TRUPTI</t>
  </si>
  <si>
    <t>HIMANSHU</t>
  </si>
  <si>
    <t>UMA</t>
  </si>
  <si>
    <t>KESHAV</t>
  </si>
  <si>
    <t>ARUNDHATHI</t>
  </si>
  <si>
    <t>HARISH JI</t>
  </si>
  <si>
    <t>HOME</t>
  </si>
  <si>
    <t>MUMMY</t>
  </si>
  <si>
    <t>MANJU</t>
  </si>
  <si>
    <t>SUBHASHJI</t>
  </si>
  <si>
    <t>BIJU</t>
  </si>
  <si>
    <t>RUPAM</t>
  </si>
  <si>
    <t>JYOTI</t>
  </si>
  <si>
    <t>CHILDRENS</t>
  </si>
  <si>
    <t>RABU</t>
  </si>
  <si>
    <t>HEMA FRIEND</t>
  </si>
  <si>
    <t>CHANDA JIJI</t>
  </si>
  <si>
    <t>HARSHVARDHAN</t>
  </si>
  <si>
    <t>ANIL JI</t>
  </si>
  <si>
    <t>SRICHANDJI</t>
  </si>
  <si>
    <t>SHANTI BHUWAJI</t>
  </si>
  <si>
    <t>HANU</t>
  </si>
  <si>
    <t>OMDUTT JI</t>
  </si>
  <si>
    <t>CHIRAGJI</t>
  </si>
  <si>
    <t>TRIPTI</t>
  </si>
  <si>
    <t>AKASH JI</t>
  </si>
  <si>
    <t>ARUN KAKOJI</t>
  </si>
  <si>
    <t>SANGEETA JI</t>
  </si>
  <si>
    <t>BABY JIJI</t>
  </si>
  <si>
    <t>SHARSHITI</t>
  </si>
  <si>
    <t>AJJU KAKOJI</t>
  </si>
  <si>
    <t>VIJAYA</t>
  </si>
  <si>
    <t>DIVYA</t>
  </si>
  <si>
    <t>SHARDA KAKIJI</t>
  </si>
  <si>
    <t>GHANSHYAM JI</t>
  </si>
  <si>
    <t>VIJAY KAKIJI</t>
  </si>
  <si>
    <t>NILIMA JIJI</t>
  </si>
  <si>
    <t>OM PRAKASH</t>
  </si>
  <si>
    <t>SHAYAMJI</t>
  </si>
  <si>
    <t>URMILA MASIJI</t>
  </si>
  <si>
    <t>SHIV BHAGWANJI</t>
  </si>
  <si>
    <t>RAJENDRA MAMAJI</t>
  </si>
  <si>
    <t>NARENDRA MAMAJI</t>
  </si>
  <si>
    <t>RAMA JI</t>
  </si>
  <si>
    <t>UMA FRIENDS</t>
  </si>
  <si>
    <t>RAMOTAR KAKOJI</t>
  </si>
  <si>
    <t>CHANDRA PRAKASJI</t>
  </si>
  <si>
    <t>NIWAJI</t>
  </si>
  <si>
    <t>PAPA- LOSAL</t>
  </si>
  <si>
    <t>MAHESH-WIFE</t>
  </si>
  <si>
    <t>SANTOSH BHUAJI</t>
  </si>
  <si>
    <t>ASHTA</t>
  </si>
  <si>
    <t>KANWAR SAHEB</t>
  </si>
  <si>
    <t>PRAMILA</t>
  </si>
  <si>
    <t>PASANGER NAME</t>
  </si>
  <si>
    <t>DATE</t>
  </si>
  <si>
    <t>CBE</t>
  </si>
  <si>
    <t>SAVITRI DEVI</t>
  </si>
  <si>
    <t>HARSHAVARDHAN</t>
  </si>
  <si>
    <t>HARISH MISHRA</t>
  </si>
  <si>
    <t>SHANTI MISHRA</t>
  </si>
  <si>
    <t>NARENDRA DADHICH</t>
  </si>
  <si>
    <t>SHASHI DADHICH</t>
  </si>
  <si>
    <t>DINESH SHARMA</t>
  </si>
  <si>
    <t>SANGEETA SHARMA</t>
  </si>
  <si>
    <t>GAJENDRA SHARMA</t>
  </si>
  <si>
    <t>SHYAMSUNDER</t>
  </si>
  <si>
    <t>RADHA SHARMA</t>
  </si>
  <si>
    <t>TARA SHARMA</t>
  </si>
  <si>
    <t>HIMANSHU SHARMA</t>
  </si>
  <si>
    <t>NATHMAL SHARMA</t>
  </si>
  <si>
    <t>MANJU BAHAD</t>
  </si>
  <si>
    <t>GHANSHYAM DADHICH</t>
  </si>
  <si>
    <t>PRABHA DADHICH</t>
  </si>
  <si>
    <t>SHYAR PRAKASH</t>
  </si>
  <si>
    <t>SHIV BHAGWAN</t>
  </si>
  <si>
    <t>URMILA</t>
  </si>
  <si>
    <t>13.05.26</t>
  </si>
  <si>
    <t>CHANDA SHARMA</t>
  </si>
  <si>
    <t>RAVI SHARMA</t>
  </si>
  <si>
    <t>SAROJ</t>
  </si>
  <si>
    <t>VIMLA DEVI</t>
  </si>
  <si>
    <t>SRICHAND JOSHI</t>
  </si>
  <si>
    <t>REMARKS</t>
  </si>
  <si>
    <t>MADHURAM</t>
  </si>
  <si>
    <t>NILIMA DOLAWAT</t>
  </si>
  <si>
    <t>KUNJ BIHARI DOLAWAT</t>
  </si>
  <si>
    <t>POINT</t>
  </si>
  <si>
    <t>LADNUN</t>
  </si>
  <si>
    <t>MANISH SHARMA</t>
  </si>
  <si>
    <t>ANJANYAN</t>
  </si>
  <si>
    <t>ROOT NO.</t>
  </si>
  <si>
    <t>EARTIGA</t>
  </si>
  <si>
    <t>RATE</t>
  </si>
  <si>
    <t>URBANIA</t>
  </si>
  <si>
    <t>URBANIYA</t>
  </si>
  <si>
    <t>VEHICAL</t>
  </si>
  <si>
    <t>RABU HOME</t>
  </si>
  <si>
    <t>DAYS USE</t>
  </si>
  <si>
    <t>TAX/TOLL</t>
  </si>
  <si>
    <t>COST</t>
  </si>
  <si>
    <t>STATE TAX</t>
  </si>
  <si>
    <t>TOTAL</t>
  </si>
  <si>
    <t>NIGHT CHARGES</t>
  </si>
  <si>
    <t>KM CAN RUN</t>
  </si>
  <si>
    <t>ACTUL RUN</t>
  </si>
  <si>
    <t>VEHICLE ARRANGEMENT FOR VRINDAYAN FAMILY FUNCTION FROM 10TH MAY TO 13 TH MAY 2026</t>
  </si>
  <si>
    <t>KANCHAN</t>
  </si>
  <si>
    <t>SHOBHNA</t>
  </si>
  <si>
    <t>SUBHASH JI</t>
  </si>
  <si>
    <t>JYO SISTER</t>
  </si>
  <si>
    <t>MAYANK</t>
  </si>
  <si>
    <t>TRAIN</t>
  </si>
  <si>
    <t>SIKAR</t>
  </si>
  <si>
    <t>RETURN</t>
  </si>
  <si>
    <t xml:space="preserve">VIVEK </t>
  </si>
  <si>
    <t>RAGHAV</t>
  </si>
  <si>
    <t>GEETALI</t>
  </si>
  <si>
    <t>TAVASHI</t>
  </si>
  <si>
    <t>GARGI</t>
  </si>
  <si>
    <t>MARUTI</t>
  </si>
  <si>
    <t>LITTLE</t>
  </si>
  <si>
    <t>BITTI</t>
  </si>
  <si>
    <t>NIKKU</t>
  </si>
  <si>
    <t>VASHU</t>
  </si>
  <si>
    <t>HARSHIT</t>
  </si>
  <si>
    <t>ANJANYAR</t>
  </si>
  <si>
    <t>RISHU</t>
  </si>
  <si>
    <t>VIVEK</t>
  </si>
  <si>
    <t>BITTU</t>
  </si>
  <si>
    <t>GUNNU</t>
  </si>
  <si>
    <t>SHREE</t>
  </si>
  <si>
    <t>ARCHANA</t>
  </si>
  <si>
    <t>SWETA</t>
  </si>
  <si>
    <t>USHA</t>
  </si>
  <si>
    <t>VINITA</t>
  </si>
  <si>
    <t>REENA</t>
  </si>
  <si>
    <t>HANUMAN</t>
  </si>
  <si>
    <t>RADHE</t>
  </si>
  <si>
    <t>VIKASH BHUTORIA</t>
  </si>
  <si>
    <t>VIKASH -WIFE</t>
  </si>
  <si>
    <t>HARSHITA-SEKHAWAT</t>
  </si>
  <si>
    <t>HARSHITA-BROTHER</t>
  </si>
  <si>
    <t>JYOTI-SISTER</t>
  </si>
  <si>
    <t>HARSH</t>
  </si>
  <si>
    <t>NAME OF PERSON</t>
  </si>
  <si>
    <t>FAMILY</t>
  </si>
  <si>
    <t>MODE OF TRANSPORT</t>
  </si>
  <si>
    <t>CHECK-IN DATE</t>
  </si>
  <si>
    <t>CHECK-IN TIME</t>
  </si>
  <si>
    <t>LOCATION FROM</t>
  </si>
  <si>
    <t>VEHICLE NO</t>
  </si>
  <si>
    <t>HOTEL</t>
  </si>
  <si>
    <t>ROOM NO.</t>
  </si>
  <si>
    <t>CHECK-OUT DATE</t>
  </si>
  <si>
    <t>CHECK-OUT TIME</t>
  </si>
  <si>
    <t xml:space="preserve">DAMODAR </t>
  </si>
  <si>
    <t xml:space="preserve">NATHMAL </t>
  </si>
  <si>
    <t xml:space="preserve">VIMLA </t>
  </si>
  <si>
    <t>RADHA</t>
  </si>
  <si>
    <t>DIRECT</t>
  </si>
  <si>
    <t>SALASAR</t>
  </si>
  <si>
    <t>NO.1</t>
  </si>
  <si>
    <t>JAIPUR</t>
  </si>
  <si>
    <t>MMSS</t>
  </si>
  <si>
    <t>KUNJU BIHARI</t>
  </si>
  <si>
    <t>TIRUPUR</t>
  </si>
  <si>
    <t>NATHMAL</t>
  </si>
  <si>
    <t>DAMODAR</t>
  </si>
  <si>
    <t>GHANSHYAM</t>
  </si>
  <si>
    <t>09.05.2026   5.30</t>
  </si>
  <si>
    <t>10.05.2026  17.30</t>
  </si>
  <si>
    <t>PERSONAL</t>
  </si>
  <si>
    <t>10.05.2026     14.30</t>
  </si>
  <si>
    <t>14.05.2026   09.30</t>
  </si>
  <si>
    <t>13.05.2026   14.30</t>
  </si>
  <si>
    <t>13.05.2026  14.30</t>
  </si>
  <si>
    <t>10.05.2026  12.30</t>
  </si>
  <si>
    <t>DWARKA</t>
  </si>
  <si>
    <t>DWARKA-WIFE</t>
  </si>
  <si>
    <t>10.05.2026  10.00</t>
  </si>
  <si>
    <t xml:space="preserve">10.05.2026 10.00 </t>
  </si>
  <si>
    <t>10.05.2026-JPR-LDN-VRN  13.05.2026  RETURN VRN-JPR</t>
  </si>
  <si>
    <t>10.05.2026-JPR-VRN  13.05.2026  RETURN VRN-LDN-JPR</t>
  </si>
  <si>
    <t>LOCAL USE-450 KMS</t>
  </si>
  <si>
    <t>BAL USE FROM SIKAR ON 10/05/2026</t>
  </si>
  <si>
    <t>200 KMS LOCAL</t>
  </si>
  <si>
    <t>J P JI FUFAJI</t>
  </si>
  <si>
    <t>NO.3</t>
  </si>
  <si>
    <t>FLIGHT</t>
  </si>
  <si>
    <t>BGLR</t>
  </si>
  <si>
    <t>KUNJ</t>
  </si>
  <si>
    <t>KOLKATA</t>
  </si>
  <si>
    <t>NO.5</t>
  </si>
  <si>
    <t>PRIVATE</t>
  </si>
  <si>
    <t>NO.2</t>
  </si>
  <si>
    <t>VAPI</t>
  </si>
  <si>
    <t>KP</t>
  </si>
  <si>
    <t>SAVITRI</t>
  </si>
  <si>
    <t>SAVITRI BHUWAJI</t>
  </si>
  <si>
    <t>SHANTI</t>
  </si>
  <si>
    <t>HYD</t>
  </si>
  <si>
    <t>SIMPLE</t>
  </si>
  <si>
    <t>ADITYA</t>
  </si>
  <si>
    <t>DELHI</t>
  </si>
  <si>
    <t>NO.4</t>
  </si>
  <si>
    <t>ARUN</t>
  </si>
  <si>
    <t>SHARSHTI</t>
  </si>
  <si>
    <t>AJJU</t>
  </si>
  <si>
    <t>RENTAL CAR</t>
  </si>
  <si>
    <t>RANCHI</t>
  </si>
  <si>
    <t>JUGAL</t>
  </si>
  <si>
    <t>BABU LAL</t>
  </si>
  <si>
    <t>MUMBAI</t>
  </si>
  <si>
    <t>SAYAR</t>
  </si>
  <si>
    <t>SHYAM JI</t>
  </si>
  <si>
    <t>NO.6</t>
  </si>
  <si>
    <t>SHIV JI</t>
  </si>
  <si>
    <t>RAJU</t>
  </si>
  <si>
    <t>SUSHILA MAMIJI</t>
  </si>
  <si>
    <t>SHASHI MAMIJI</t>
  </si>
  <si>
    <t>NARENDRA</t>
  </si>
  <si>
    <t>SUNIL JI</t>
  </si>
  <si>
    <t>RAMOTAR</t>
  </si>
  <si>
    <t>RAIPUR</t>
  </si>
  <si>
    <t>PANDITJI</t>
  </si>
  <si>
    <t>SRI RAMJI</t>
  </si>
  <si>
    <t>LOSAL</t>
  </si>
  <si>
    <t>CAR-LOSAL</t>
  </si>
  <si>
    <t>HARSHITA</t>
  </si>
  <si>
    <t>BHUTORIA</t>
  </si>
  <si>
    <t>DWARKA-WIFT</t>
  </si>
  <si>
    <t>KUNJ-DOLAWAT</t>
  </si>
  <si>
    <t>DWRKA</t>
  </si>
  <si>
    <t>SL</t>
  </si>
  <si>
    <t>CP-CAR</t>
  </si>
  <si>
    <t>JK-CAR</t>
  </si>
  <si>
    <t>JP-CAR</t>
  </si>
  <si>
    <t>AS-CAR</t>
  </si>
  <si>
    <t>SP-CAR</t>
  </si>
  <si>
    <t>SS-CAR</t>
  </si>
  <si>
    <t>AGRA</t>
  </si>
  <si>
    <t>MATHURA</t>
  </si>
  <si>
    <t>TUNDLA</t>
  </si>
  <si>
    <t>DIVYANSHJI</t>
  </si>
  <si>
    <t>SINGLE</t>
  </si>
  <si>
    <t>NARESHJI-SHRISTHI</t>
  </si>
  <si>
    <t>USHA JI-MUMBAI</t>
  </si>
  <si>
    <t>APOORVA</t>
  </si>
  <si>
    <t>OM JI</t>
  </si>
  <si>
    <t>OMEXE</t>
  </si>
  <si>
    <t>APT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</si>
</sst>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F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3" borderId="12" xfId="0" applyFill="1" applyBorder="1" applyAlignment="1">
      <alignment vertical="center"/>
    </xf>
    <xf numFmtId="0" fontId="0" fillId="3" borderId="14" xfId="0" applyFill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6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8" borderId="14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9" borderId="14" xfId="0" applyFill="1" applyBorder="1" applyAlignment="1">
      <alignment vertical="center"/>
    </xf>
    <xf numFmtId="0" fontId="0" fillId="8" borderId="18" xfId="0" applyFill="1" applyBorder="1" applyAlignment="1">
      <alignment vertical="center"/>
    </xf>
    <xf numFmtId="0" fontId="0" fillId="9" borderId="17" xfId="0" applyFill="1" applyBorder="1" applyAlignment="1">
      <alignment vertical="center"/>
    </xf>
    <xf numFmtId="2" fontId="0" fillId="0" borderId="6" xfId="0" applyNumberFormat="1" applyBorder="1" applyAlignment="1">
      <alignment horizontal="center" vertical="center" wrapText="1"/>
    </xf>
    <xf numFmtId="2" fontId="0" fillId="0" borderId="6" xfId="0" applyNumberFormat="1" applyBorder="1" applyAlignment="1">
      <alignment horizontal="center"/>
    </xf>
    <xf numFmtId="0" fontId="0" fillId="2" borderId="6" xfId="0" applyFill="1" applyBorder="1" applyAlignment="1">
      <alignment horizontal="center"/>
    </xf>
    <xf numFmtId="2" fontId="0" fillId="2" borderId="6" xfId="0" applyNumberFormat="1" applyFill="1" applyBorder="1" applyAlignment="1">
      <alignment horizontal="center"/>
    </xf>
    <xf numFmtId="14" fontId="0" fillId="0" borderId="6" xfId="0" applyNumberFormat="1" applyBorder="1" applyAlignment="1">
      <alignment horizontal="center" vertical="center" wrapText="1"/>
    </xf>
    <xf numFmtId="14" fontId="0" fillId="0" borderId="6" xfId="0" applyNumberFormat="1" applyBorder="1"/>
    <xf numFmtId="0" fontId="0" fillId="2" borderId="6" xfId="0" applyFill="1" applyBorder="1"/>
    <xf numFmtId="14" fontId="0" fillId="2" borderId="6" xfId="0" applyNumberFormat="1" applyFill="1" applyBorder="1"/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2" borderId="6" xfId="0" applyFill="1" applyBorder="1" applyAlignment="1">
      <alignment horizontal="center" vertical="center" wrapText="1"/>
    </xf>
    <xf numFmtId="0" fontId="0" fillId="0" borderId="6" xfId="0" applyBorder="1"/>
    <xf numFmtId="0" fontId="0" fillId="0" borderId="6" xfId="0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1" fillId="10" borderId="1" xfId="0" applyFont="1" applyFill="1" applyBorder="1" applyAlignment="1">
      <alignment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 wrapText="1"/>
    </xf>
    <xf numFmtId="2" fontId="0" fillId="0" borderId="5" xfId="0" applyNumberFormat="1" applyBorder="1" applyAlignment="1">
      <alignment horizontal="center" vertical="center" wrapText="1"/>
    </xf>
    <xf numFmtId="0" fontId="0" fillId="2" borderId="8" xfId="0" applyFill="1" applyBorder="1"/>
    <xf numFmtId="0" fontId="0" fillId="2" borderId="8" xfId="0" applyFill="1" applyBorder="1" applyAlignment="1">
      <alignment horizont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6" borderId="19" xfId="0" applyFont="1" applyFill="1" applyBorder="1" applyAlignment="1">
      <alignment horizontal="center" vertical="center" wrapText="1"/>
    </xf>
    <xf numFmtId="0" fontId="3" fillId="6" borderId="15" xfId="0" applyFont="1" applyFill="1" applyBorder="1" applyAlignment="1">
      <alignment horizontal="center" vertical="center" wrapText="1"/>
    </xf>
    <xf numFmtId="0" fontId="3" fillId="6" borderId="20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FF66"/>
      <color rgb="FFFF99CC"/>
      <color rgb="FF99CCFF"/>
      <color rgb="FF66FF99"/>
      <color rgb="FF00FFFF"/>
      <color rgb="FF9999FF"/>
      <color rgb="FF0099FF"/>
      <color rgb="FF66FF33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288FD-5C39-44C3-AF77-D4B80CF901FE}">
  <dimension ref="A2:AE134"/>
  <sheetViews>
    <sheetView tabSelected="1" zoomScaleNormal="100" workbookViewId="0">
      <selection activeCell="B7" sqref="B7"/>
    </sheetView>
  </sheetViews>
  <sheetFormatPr defaultRowHeight="14.5" x14ac:dyDescent="0.35"/>
  <cols>
    <col min="1" max="1" width="4" customWidth="1"/>
    <col min="2" max="2" width="19.54296875" customWidth="1"/>
    <col min="3" max="3" width="12.54296875" bestFit="1" customWidth="1"/>
    <col min="4" max="4" width="10.7265625" style="10" customWidth="1"/>
    <col min="5" max="5" width="10" style="10" customWidth="1"/>
    <col min="6" max="6" width="10.453125" style="10" customWidth="1"/>
    <col min="7" max="7" width="10.453125" bestFit="1" customWidth="1"/>
    <col min="8" max="8" width="8.7265625" style="10"/>
    <col min="9" max="9" width="9.90625" style="10" customWidth="1"/>
    <col min="10" max="10" width="8.7265625" style="10"/>
    <col min="11" max="11" width="10.453125" bestFit="1" customWidth="1"/>
    <col min="12" max="12" width="8.7265625" style="10"/>
  </cols>
  <sheetData>
    <row r="2" spans="1:31" ht="41.5" customHeight="1" x14ac:dyDescent="0.35">
      <c r="A2" s="44" t="s">
        <v>267</v>
      </c>
      <c r="B2" s="44" t="s">
        <v>178</v>
      </c>
      <c r="C2" s="44" t="s">
        <v>179</v>
      </c>
      <c r="D2" s="45" t="s">
        <v>180</v>
      </c>
      <c r="E2" s="45" t="s">
        <v>184</v>
      </c>
      <c r="F2" s="45" t="s">
        <v>183</v>
      </c>
      <c r="G2" s="45" t="s">
        <v>181</v>
      </c>
      <c r="H2" s="45" t="s">
        <v>182</v>
      </c>
      <c r="I2" s="45" t="s">
        <v>185</v>
      </c>
      <c r="J2" s="45" t="s">
        <v>186</v>
      </c>
      <c r="K2" s="45" t="s">
        <v>187</v>
      </c>
      <c r="L2" s="45" t="s">
        <v>188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ht="16.5" customHeight="1" x14ac:dyDescent="0.35">
      <c r="A3" s="46">
        <v>1</v>
      </c>
      <c r="B3" s="47" t="s">
        <v>190</v>
      </c>
      <c r="C3" s="47" t="s">
        <v>200</v>
      </c>
      <c r="D3" s="48" t="s">
        <v>125</v>
      </c>
      <c r="E3" s="48" t="s">
        <v>195</v>
      </c>
      <c r="F3" s="48" t="s">
        <v>121</v>
      </c>
      <c r="G3" s="49">
        <v>46151</v>
      </c>
      <c r="H3" s="50">
        <v>14.3</v>
      </c>
      <c r="I3" s="48" t="s">
        <v>283</v>
      </c>
      <c r="J3" s="48" t="s">
        <v>39</v>
      </c>
      <c r="K3" s="49">
        <v>46156</v>
      </c>
      <c r="L3" s="50">
        <v>9.3000000000000007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x14ac:dyDescent="0.35">
      <c r="A4" s="42">
        <v>2</v>
      </c>
      <c r="B4" s="40" t="s">
        <v>191</v>
      </c>
      <c r="C4" s="41" t="s">
        <v>200</v>
      </c>
      <c r="D4" s="37" t="s">
        <v>125</v>
      </c>
      <c r="E4" s="37" t="s">
        <v>195</v>
      </c>
      <c r="F4" s="37" t="s">
        <v>121</v>
      </c>
      <c r="G4" s="33">
        <v>46151</v>
      </c>
      <c r="H4" s="29">
        <v>14.3</v>
      </c>
      <c r="I4" s="37" t="s">
        <v>283</v>
      </c>
      <c r="J4" s="37" t="s">
        <v>39</v>
      </c>
      <c r="K4" s="33">
        <v>46156</v>
      </c>
      <c r="L4" s="29">
        <v>9.3000000000000007</v>
      </c>
    </row>
    <row r="5" spans="1:31" x14ac:dyDescent="0.35">
      <c r="A5" s="42">
        <v>3</v>
      </c>
      <c r="B5" s="40" t="s">
        <v>189</v>
      </c>
      <c r="C5" s="41" t="s">
        <v>201</v>
      </c>
      <c r="D5" s="37" t="s">
        <v>193</v>
      </c>
      <c r="E5" s="37" t="s">
        <v>193</v>
      </c>
      <c r="F5" s="37" t="s">
        <v>194</v>
      </c>
      <c r="G5" s="34">
        <v>46153</v>
      </c>
      <c r="H5" s="30">
        <v>17.3</v>
      </c>
      <c r="I5" s="37" t="s">
        <v>283</v>
      </c>
      <c r="J5" s="37" t="s">
        <v>39</v>
      </c>
      <c r="K5" s="34">
        <v>46155</v>
      </c>
      <c r="L5" s="30">
        <v>14.3</v>
      </c>
    </row>
    <row r="6" spans="1:31" x14ac:dyDescent="0.35">
      <c r="A6" s="46">
        <v>4</v>
      </c>
      <c r="B6" s="40" t="s">
        <v>192</v>
      </c>
      <c r="C6" s="41" t="s">
        <v>201</v>
      </c>
      <c r="D6" s="37" t="s">
        <v>128</v>
      </c>
      <c r="E6" s="37" t="s">
        <v>226</v>
      </c>
      <c r="F6" s="37" t="s">
        <v>196</v>
      </c>
      <c r="G6" s="34">
        <v>46152</v>
      </c>
      <c r="H6" s="30">
        <v>19.3</v>
      </c>
      <c r="I6" s="37" t="s">
        <v>283</v>
      </c>
      <c r="J6" s="37" t="s">
        <v>39</v>
      </c>
      <c r="K6" s="34">
        <v>46155</v>
      </c>
      <c r="L6" s="30">
        <v>14.3</v>
      </c>
    </row>
    <row r="7" spans="1:31" x14ac:dyDescent="0.35">
      <c r="A7" s="42">
        <v>5</v>
      </c>
      <c r="B7" s="40" t="s">
        <v>140</v>
      </c>
      <c r="C7" s="41" t="s">
        <v>224</v>
      </c>
      <c r="D7" s="38" t="s">
        <v>128</v>
      </c>
      <c r="E7" s="37" t="s">
        <v>221</v>
      </c>
      <c r="F7" s="37" t="s">
        <v>121</v>
      </c>
      <c r="G7" s="34">
        <v>46152</v>
      </c>
      <c r="H7" s="30">
        <v>19.3</v>
      </c>
      <c r="I7" s="37" t="s">
        <v>197</v>
      </c>
      <c r="J7" s="38">
        <v>104</v>
      </c>
      <c r="K7" s="34">
        <v>46155</v>
      </c>
      <c r="L7" s="30">
        <v>14.3</v>
      </c>
    </row>
    <row r="8" spans="1:31" x14ac:dyDescent="0.35">
      <c r="A8" s="42">
        <v>6</v>
      </c>
      <c r="B8" s="40" t="s">
        <v>198</v>
      </c>
      <c r="C8" s="41" t="s">
        <v>224</v>
      </c>
      <c r="D8" s="37" t="s">
        <v>145</v>
      </c>
      <c r="E8" s="37" t="s">
        <v>275</v>
      </c>
      <c r="F8" s="37" t="s">
        <v>199</v>
      </c>
      <c r="G8" s="34">
        <v>46152</v>
      </c>
      <c r="H8" s="30">
        <v>11.3</v>
      </c>
      <c r="I8" s="37" t="s">
        <v>197</v>
      </c>
      <c r="J8" s="38">
        <v>104</v>
      </c>
      <c r="K8" s="34">
        <v>46155</v>
      </c>
      <c r="L8" s="30">
        <v>14.3</v>
      </c>
    </row>
    <row r="9" spans="1:31" x14ac:dyDescent="0.35">
      <c r="A9" s="46">
        <v>7</v>
      </c>
      <c r="B9" s="40" t="s">
        <v>1</v>
      </c>
      <c r="C9" s="41" t="s">
        <v>224</v>
      </c>
      <c r="D9" s="38" t="s">
        <v>128</v>
      </c>
      <c r="E9" s="37" t="s">
        <v>221</v>
      </c>
      <c r="F9" s="37" t="s">
        <v>121</v>
      </c>
      <c r="G9" s="34">
        <v>46152</v>
      </c>
      <c r="H9" s="30">
        <v>19.3</v>
      </c>
      <c r="I9" s="37" t="s">
        <v>197</v>
      </c>
      <c r="J9" s="38">
        <v>104</v>
      </c>
      <c r="K9" s="34">
        <v>46155</v>
      </c>
      <c r="L9" s="30">
        <v>14.3</v>
      </c>
    </row>
    <row r="10" spans="1:31" x14ac:dyDescent="0.35">
      <c r="A10" s="42">
        <v>8</v>
      </c>
      <c r="B10" s="40" t="s">
        <v>2</v>
      </c>
      <c r="C10" s="41" t="s">
        <v>224</v>
      </c>
      <c r="D10" s="38" t="s">
        <v>128</v>
      </c>
      <c r="E10" s="37" t="s">
        <v>221</v>
      </c>
      <c r="F10" s="37" t="s">
        <v>121</v>
      </c>
      <c r="G10" s="34">
        <v>46152</v>
      </c>
      <c r="H10" s="30">
        <v>19.3</v>
      </c>
      <c r="I10" s="37" t="s">
        <v>197</v>
      </c>
      <c r="J10" s="38">
        <v>104</v>
      </c>
      <c r="K10" s="34">
        <v>46155</v>
      </c>
      <c r="L10" s="30">
        <v>14.3</v>
      </c>
    </row>
    <row r="11" spans="1:31" x14ac:dyDescent="0.35">
      <c r="A11" s="42">
        <v>9</v>
      </c>
      <c r="B11" s="40" t="s">
        <v>104</v>
      </c>
      <c r="C11" s="41" t="s">
        <v>42</v>
      </c>
      <c r="D11" s="38" t="s">
        <v>128</v>
      </c>
      <c r="E11" s="37" t="s">
        <v>221</v>
      </c>
      <c r="F11" s="37" t="s">
        <v>121</v>
      </c>
      <c r="G11" s="34">
        <v>46152</v>
      </c>
      <c r="H11" s="30">
        <v>19.3</v>
      </c>
      <c r="I11" s="37" t="s">
        <v>197</v>
      </c>
      <c r="J11" s="38">
        <v>105</v>
      </c>
      <c r="K11" s="34">
        <v>46155</v>
      </c>
      <c r="L11" s="30">
        <v>14.3</v>
      </c>
    </row>
    <row r="12" spans="1:31" x14ac:dyDescent="0.35">
      <c r="A12" s="46">
        <v>10</v>
      </c>
      <c r="B12" s="40" t="s">
        <v>42</v>
      </c>
      <c r="C12" s="41" t="s">
        <v>42</v>
      </c>
      <c r="D12" s="38" t="s">
        <v>128</v>
      </c>
      <c r="E12" s="37" t="s">
        <v>221</v>
      </c>
      <c r="F12" s="37" t="s">
        <v>121</v>
      </c>
      <c r="G12" s="34">
        <v>46152</v>
      </c>
      <c r="H12" s="30">
        <v>19.3</v>
      </c>
      <c r="I12" s="37" t="s">
        <v>197</v>
      </c>
      <c r="J12" s="38">
        <v>105</v>
      </c>
      <c r="K12" s="34">
        <v>46155</v>
      </c>
      <c r="L12" s="30">
        <v>14.3</v>
      </c>
    </row>
    <row r="13" spans="1:31" x14ac:dyDescent="0.35">
      <c r="A13" s="42">
        <v>11</v>
      </c>
      <c r="B13" s="40" t="s">
        <v>43</v>
      </c>
      <c r="C13" s="41" t="s">
        <v>43</v>
      </c>
      <c r="D13" s="38" t="s">
        <v>222</v>
      </c>
      <c r="E13" s="37" t="s">
        <v>274</v>
      </c>
      <c r="F13" s="37" t="s">
        <v>89</v>
      </c>
      <c r="G13" s="34">
        <v>46149</v>
      </c>
      <c r="H13" s="30">
        <v>17.3</v>
      </c>
      <c r="I13" s="37" t="s">
        <v>197</v>
      </c>
      <c r="J13" s="38">
        <v>106</v>
      </c>
      <c r="K13" s="34">
        <v>46155</v>
      </c>
      <c r="L13" s="30">
        <v>14.3</v>
      </c>
    </row>
    <row r="14" spans="1:31" x14ac:dyDescent="0.35">
      <c r="A14" s="42">
        <v>12</v>
      </c>
      <c r="B14" s="40" t="s">
        <v>35</v>
      </c>
      <c r="C14" s="41" t="s">
        <v>43</v>
      </c>
      <c r="D14" s="38" t="s">
        <v>222</v>
      </c>
      <c r="E14" s="37" t="s">
        <v>274</v>
      </c>
      <c r="F14" s="37" t="s">
        <v>89</v>
      </c>
      <c r="G14" s="34">
        <v>46149</v>
      </c>
      <c r="H14" s="30">
        <v>17.3</v>
      </c>
      <c r="I14" s="37" t="s">
        <v>197</v>
      </c>
      <c r="J14" s="38">
        <v>106</v>
      </c>
      <c r="K14" s="34">
        <v>46155</v>
      </c>
      <c r="L14" s="30">
        <v>14.3</v>
      </c>
    </row>
    <row r="15" spans="1:31" x14ac:dyDescent="0.35">
      <c r="A15" s="46">
        <v>13</v>
      </c>
      <c r="B15" s="40" t="s">
        <v>36</v>
      </c>
      <c r="C15" s="41" t="s">
        <v>43</v>
      </c>
      <c r="D15" s="38" t="s">
        <v>222</v>
      </c>
      <c r="E15" s="37" t="s">
        <v>274</v>
      </c>
      <c r="F15" s="37" t="s">
        <v>223</v>
      </c>
      <c r="G15" s="34">
        <v>46152</v>
      </c>
      <c r="H15" s="30">
        <v>17.3</v>
      </c>
      <c r="I15" s="37" t="s">
        <v>197</v>
      </c>
      <c r="J15" s="38">
        <v>106</v>
      </c>
      <c r="K15" s="34">
        <v>46155</v>
      </c>
      <c r="L15" s="30">
        <v>14.3</v>
      </c>
    </row>
    <row r="16" spans="1:31" x14ac:dyDescent="0.35">
      <c r="A16" s="42">
        <v>14</v>
      </c>
      <c r="B16" s="40" t="s">
        <v>44</v>
      </c>
      <c r="C16" s="41" t="s">
        <v>19</v>
      </c>
      <c r="D16" s="38" t="s">
        <v>128</v>
      </c>
      <c r="E16" s="37" t="s">
        <v>221</v>
      </c>
      <c r="F16" s="37" t="s">
        <v>121</v>
      </c>
      <c r="G16" s="34">
        <v>46152</v>
      </c>
      <c r="H16" s="30">
        <v>19.3</v>
      </c>
      <c r="I16" s="37" t="s">
        <v>197</v>
      </c>
      <c r="J16" s="38">
        <v>107</v>
      </c>
      <c r="K16" s="34">
        <v>46155</v>
      </c>
      <c r="L16" s="30">
        <v>14.3</v>
      </c>
    </row>
    <row r="17" spans="1:12" x14ac:dyDescent="0.35">
      <c r="A17" s="42">
        <v>15</v>
      </c>
      <c r="B17" s="40" t="s">
        <v>45</v>
      </c>
      <c r="C17" s="41" t="s">
        <v>19</v>
      </c>
      <c r="D17" s="38" t="s">
        <v>128</v>
      </c>
      <c r="E17" s="37" t="s">
        <v>221</v>
      </c>
      <c r="F17" s="37" t="s">
        <v>121</v>
      </c>
      <c r="G17" s="34">
        <v>46152</v>
      </c>
      <c r="H17" s="30">
        <v>19.3</v>
      </c>
      <c r="I17" s="37" t="s">
        <v>197</v>
      </c>
      <c r="J17" s="38">
        <v>107</v>
      </c>
      <c r="K17" s="34">
        <v>46155</v>
      </c>
      <c r="L17" s="30">
        <v>14.3</v>
      </c>
    </row>
    <row r="18" spans="1:12" x14ac:dyDescent="0.35">
      <c r="A18" s="46">
        <v>16</v>
      </c>
      <c r="B18" s="40" t="s">
        <v>176</v>
      </c>
      <c r="C18" s="41" t="s">
        <v>278</v>
      </c>
      <c r="D18" s="38" t="s">
        <v>128</v>
      </c>
      <c r="E18" s="37" t="s">
        <v>221</v>
      </c>
      <c r="F18" s="37" t="s">
        <v>121</v>
      </c>
      <c r="G18" s="34">
        <v>46152</v>
      </c>
      <c r="H18" s="30">
        <v>19.3</v>
      </c>
      <c r="I18" s="37" t="s">
        <v>197</v>
      </c>
      <c r="J18" s="38">
        <v>202</v>
      </c>
      <c r="K18" s="34">
        <v>46155</v>
      </c>
      <c r="L18" s="30">
        <v>14.3</v>
      </c>
    </row>
    <row r="19" spans="1:12" x14ac:dyDescent="0.35">
      <c r="A19" s="42">
        <v>17</v>
      </c>
      <c r="B19" s="40" t="s">
        <v>3</v>
      </c>
      <c r="C19" s="41" t="s">
        <v>3</v>
      </c>
      <c r="D19" s="38" t="s">
        <v>145</v>
      </c>
      <c r="E19" s="37" t="s">
        <v>275</v>
      </c>
      <c r="F19" s="37" t="s">
        <v>199</v>
      </c>
      <c r="G19" s="34">
        <v>46152</v>
      </c>
      <c r="H19" s="30">
        <v>11.3</v>
      </c>
      <c r="I19" s="37" t="s">
        <v>197</v>
      </c>
      <c r="J19" s="38">
        <v>108</v>
      </c>
      <c r="K19" s="34">
        <v>46155</v>
      </c>
      <c r="L19" s="30">
        <v>14.3</v>
      </c>
    </row>
    <row r="20" spans="1:12" x14ac:dyDescent="0.35">
      <c r="A20" s="42">
        <v>18</v>
      </c>
      <c r="B20" s="40" t="s">
        <v>4</v>
      </c>
      <c r="C20" s="41" t="s">
        <v>3</v>
      </c>
      <c r="D20" s="38" t="s">
        <v>145</v>
      </c>
      <c r="E20" s="37" t="s">
        <v>275</v>
      </c>
      <c r="F20" s="37" t="s">
        <v>199</v>
      </c>
      <c r="G20" s="34">
        <v>46152</v>
      </c>
      <c r="H20" s="30">
        <v>11.3</v>
      </c>
      <c r="I20" s="37" t="s">
        <v>197</v>
      </c>
      <c r="J20" s="38">
        <v>108</v>
      </c>
      <c r="K20" s="34">
        <v>46155</v>
      </c>
      <c r="L20" s="30">
        <v>14.3</v>
      </c>
    </row>
    <row r="21" spans="1:12" x14ac:dyDescent="0.35">
      <c r="A21" s="46">
        <v>19</v>
      </c>
      <c r="B21" s="40" t="s">
        <v>149</v>
      </c>
      <c r="C21" s="41" t="s">
        <v>3</v>
      </c>
      <c r="D21" s="38" t="s">
        <v>145</v>
      </c>
      <c r="E21" s="37" t="s">
        <v>275</v>
      </c>
      <c r="F21" s="37" t="s">
        <v>199</v>
      </c>
      <c r="G21" s="34">
        <v>46152</v>
      </c>
      <c r="H21" s="30">
        <v>11.3</v>
      </c>
      <c r="I21" s="37" t="s">
        <v>197</v>
      </c>
      <c r="J21" s="38">
        <v>108</v>
      </c>
      <c r="K21" s="34">
        <v>46155</v>
      </c>
      <c r="L21" s="30">
        <v>14.3</v>
      </c>
    </row>
    <row r="22" spans="1:12" x14ac:dyDescent="0.35">
      <c r="A22" s="42">
        <v>20</v>
      </c>
      <c r="B22" s="40" t="s">
        <v>150</v>
      </c>
      <c r="C22" s="41" t="s">
        <v>3</v>
      </c>
      <c r="D22" s="38" t="s">
        <v>145</v>
      </c>
      <c r="E22" s="37" t="s">
        <v>275</v>
      </c>
      <c r="F22" s="37" t="s">
        <v>199</v>
      </c>
      <c r="G22" s="34">
        <v>46152</v>
      </c>
      <c r="H22" s="30">
        <v>11.3</v>
      </c>
      <c r="I22" s="37" t="s">
        <v>197</v>
      </c>
      <c r="J22" s="38">
        <v>108</v>
      </c>
      <c r="K22" s="34">
        <v>46155</v>
      </c>
      <c r="L22" s="30">
        <v>14.3</v>
      </c>
    </row>
    <row r="23" spans="1:12" x14ac:dyDescent="0.35">
      <c r="A23" s="42">
        <v>21</v>
      </c>
      <c r="B23" s="40" t="s">
        <v>22</v>
      </c>
      <c r="C23" s="41" t="s">
        <v>22</v>
      </c>
      <c r="D23" s="38" t="s">
        <v>145</v>
      </c>
      <c r="E23" s="37" t="s">
        <v>276</v>
      </c>
      <c r="F23" s="37" t="s">
        <v>225</v>
      </c>
      <c r="G23" s="34">
        <v>46152</v>
      </c>
      <c r="H23" s="30">
        <v>19.3</v>
      </c>
      <c r="I23" s="37" t="s">
        <v>197</v>
      </c>
      <c r="J23" s="38">
        <v>109</v>
      </c>
      <c r="K23" s="34">
        <v>46155</v>
      </c>
      <c r="L23" s="30">
        <v>14.3</v>
      </c>
    </row>
    <row r="24" spans="1:12" x14ac:dyDescent="0.35">
      <c r="A24" s="46">
        <v>22</v>
      </c>
      <c r="B24" s="40" t="s">
        <v>23</v>
      </c>
      <c r="C24" s="41" t="s">
        <v>22</v>
      </c>
      <c r="D24" s="38" t="s">
        <v>145</v>
      </c>
      <c r="E24" s="37" t="s">
        <v>276</v>
      </c>
      <c r="F24" s="37" t="s">
        <v>225</v>
      </c>
      <c r="G24" s="34">
        <v>46152</v>
      </c>
      <c r="H24" s="30">
        <v>19.3</v>
      </c>
      <c r="I24" s="37" t="s">
        <v>197</v>
      </c>
      <c r="J24" s="38">
        <v>109</v>
      </c>
      <c r="K24" s="34">
        <v>46155</v>
      </c>
      <c r="L24" s="30">
        <v>14.3</v>
      </c>
    </row>
    <row r="25" spans="1:12" x14ac:dyDescent="0.35">
      <c r="A25" s="42">
        <v>23</v>
      </c>
      <c r="B25" s="40" t="s">
        <v>151</v>
      </c>
      <c r="C25" s="41" t="s">
        <v>22</v>
      </c>
      <c r="D25" s="38" t="s">
        <v>145</v>
      </c>
      <c r="E25" s="37" t="s">
        <v>276</v>
      </c>
      <c r="F25" s="37" t="s">
        <v>225</v>
      </c>
      <c r="G25" s="34">
        <v>46152</v>
      </c>
      <c r="H25" s="30">
        <v>19.3</v>
      </c>
      <c r="I25" s="37" t="s">
        <v>197</v>
      </c>
      <c r="J25" s="38">
        <v>109</v>
      </c>
      <c r="K25" s="34">
        <v>46155</v>
      </c>
      <c r="L25" s="30">
        <v>14.3</v>
      </c>
    </row>
    <row r="26" spans="1:12" x14ac:dyDescent="0.35">
      <c r="A26" s="42">
        <v>24</v>
      </c>
      <c r="B26" s="40" t="s">
        <v>152</v>
      </c>
      <c r="C26" s="41" t="s">
        <v>22</v>
      </c>
      <c r="D26" s="38" t="s">
        <v>145</v>
      </c>
      <c r="E26" s="37" t="s">
        <v>276</v>
      </c>
      <c r="F26" s="37" t="s">
        <v>225</v>
      </c>
      <c r="G26" s="34">
        <v>46152</v>
      </c>
      <c r="H26" s="30">
        <v>19.3</v>
      </c>
      <c r="I26" s="37" t="s">
        <v>197</v>
      </c>
      <c r="J26" s="38">
        <v>109</v>
      </c>
      <c r="K26" s="34">
        <v>46155</v>
      </c>
      <c r="L26" s="30">
        <v>14.3</v>
      </c>
    </row>
    <row r="27" spans="1:12" x14ac:dyDescent="0.35">
      <c r="A27" s="46">
        <v>25</v>
      </c>
      <c r="B27" s="40" t="s">
        <v>24</v>
      </c>
      <c r="C27" s="41" t="s">
        <v>24</v>
      </c>
      <c r="D27" s="38" t="s">
        <v>145</v>
      </c>
      <c r="E27" s="37" t="s">
        <v>276</v>
      </c>
      <c r="F27" s="37" t="s">
        <v>225</v>
      </c>
      <c r="G27" s="34">
        <v>46152</v>
      </c>
      <c r="H27" s="30">
        <v>19.3</v>
      </c>
      <c r="I27" s="37" t="s">
        <v>197</v>
      </c>
      <c r="J27" s="38">
        <v>110</v>
      </c>
      <c r="K27" s="34">
        <v>46155</v>
      </c>
      <c r="L27" s="30">
        <v>14.3</v>
      </c>
    </row>
    <row r="28" spans="1:12" x14ac:dyDescent="0.35">
      <c r="A28" s="42">
        <v>26</v>
      </c>
      <c r="B28" s="40" t="s">
        <v>32</v>
      </c>
      <c r="C28" s="41" t="s">
        <v>24</v>
      </c>
      <c r="D28" s="38" t="s">
        <v>145</v>
      </c>
      <c r="E28" s="37" t="s">
        <v>276</v>
      </c>
      <c r="F28" s="37" t="s">
        <v>225</v>
      </c>
      <c r="G28" s="34">
        <v>46152</v>
      </c>
      <c r="H28" s="30">
        <v>19.3</v>
      </c>
      <c r="I28" s="37" t="s">
        <v>197</v>
      </c>
      <c r="J28" s="38">
        <v>110</v>
      </c>
      <c r="K28" s="34">
        <v>46155</v>
      </c>
      <c r="L28" s="30">
        <v>14.3</v>
      </c>
    </row>
    <row r="29" spans="1:12" x14ac:dyDescent="0.35">
      <c r="A29" s="42">
        <v>27</v>
      </c>
      <c r="B29" s="40" t="s">
        <v>153</v>
      </c>
      <c r="C29" s="41" t="s">
        <v>24</v>
      </c>
      <c r="D29" s="38" t="s">
        <v>145</v>
      </c>
      <c r="E29" s="37" t="s">
        <v>276</v>
      </c>
      <c r="F29" s="37" t="s">
        <v>225</v>
      </c>
      <c r="G29" s="34">
        <v>46152</v>
      </c>
      <c r="H29" s="30">
        <v>19.3</v>
      </c>
      <c r="I29" s="37" t="s">
        <v>197</v>
      </c>
      <c r="J29" s="38">
        <v>110</v>
      </c>
      <c r="K29" s="34">
        <v>46155</v>
      </c>
      <c r="L29" s="30">
        <v>14.3</v>
      </c>
    </row>
    <row r="30" spans="1:12" x14ac:dyDescent="0.35">
      <c r="A30" s="46">
        <v>28</v>
      </c>
      <c r="B30" s="40" t="s">
        <v>154</v>
      </c>
      <c r="C30" s="41" t="s">
        <v>24</v>
      </c>
      <c r="D30" s="38" t="s">
        <v>145</v>
      </c>
      <c r="E30" s="37" t="s">
        <v>276</v>
      </c>
      <c r="F30" s="37" t="s">
        <v>225</v>
      </c>
      <c r="G30" s="34">
        <v>46152</v>
      </c>
      <c r="H30" s="30">
        <v>19.3</v>
      </c>
      <c r="I30" s="37" t="s">
        <v>197</v>
      </c>
      <c r="J30" s="38">
        <v>110</v>
      </c>
      <c r="K30" s="34">
        <v>46155</v>
      </c>
      <c r="L30" s="30">
        <v>14.3</v>
      </c>
    </row>
    <row r="31" spans="1:12" x14ac:dyDescent="0.35">
      <c r="A31" s="42">
        <v>29</v>
      </c>
      <c r="B31" s="40" t="s">
        <v>47</v>
      </c>
      <c r="C31" s="41" t="s">
        <v>47</v>
      </c>
      <c r="D31" s="38" t="s">
        <v>128</v>
      </c>
      <c r="E31" s="37" t="s">
        <v>226</v>
      </c>
      <c r="F31" s="37" t="s">
        <v>196</v>
      </c>
      <c r="G31" s="34">
        <v>46152</v>
      </c>
      <c r="H31" s="30">
        <v>19.3</v>
      </c>
      <c r="I31" s="37" t="s">
        <v>197</v>
      </c>
      <c r="J31" s="38">
        <v>111</v>
      </c>
      <c r="K31" s="34">
        <v>46155</v>
      </c>
      <c r="L31" s="30">
        <v>14.3</v>
      </c>
    </row>
    <row r="32" spans="1:12" x14ac:dyDescent="0.35">
      <c r="A32" s="42">
        <v>30</v>
      </c>
      <c r="B32" s="40" t="s">
        <v>6</v>
      </c>
      <c r="C32" s="41" t="s">
        <v>47</v>
      </c>
      <c r="D32" s="38" t="s">
        <v>128</v>
      </c>
      <c r="E32" s="37" t="s">
        <v>226</v>
      </c>
      <c r="F32" s="37" t="s">
        <v>196</v>
      </c>
      <c r="G32" s="34">
        <v>46152</v>
      </c>
      <c r="H32" s="30">
        <v>19.3</v>
      </c>
      <c r="I32" s="37" t="s">
        <v>197</v>
      </c>
      <c r="J32" s="38">
        <v>111</v>
      </c>
      <c r="K32" s="34">
        <v>46155</v>
      </c>
      <c r="L32" s="30">
        <v>14.3</v>
      </c>
    </row>
    <row r="33" spans="1:12" x14ac:dyDescent="0.35">
      <c r="A33" s="46">
        <v>31</v>
      </c>
      <c r="B33" s="40" t="s">
        <v>34</v>
      </c>
      <c r="C33" s="41" t="s">
        <v>47</v>
      </c>
      <c r="D33" s="38" t="s">
        <v>128</v>
      </c>
      <c r="E33" s="37" t="s">
        <v>226</v>
      </c>
      <c r="F33" s="37" t="s">
        <v>196</v>
      </c>
      <c r="G33" s="34">
        <v>46152</v>
      </c>
      <c r="H33" s="30">
        <v>19.3</v>
      </c>
      <c r="I33" s="37" t="s">
        <v>197</v>
      </c>
      <c r="J33" s="38">
        <v>111</v>
      </c>
      <c r="K33" s="34">
        <v>46155</v>
      </c>
      <c r="L33" s="30">
        <v>14.3</v>
      </c>
    </row>
    <row r="34" spans="1:12" x14ac:dyDescent="0.35">
      <c r="A34" s="42">
        <v>32</v>
      </c>
      <c r="B34" s="40" t="s">
        <v>32</v>
      </c>
      <c r="C34" s="41" t="s">
        <v>47</v>
      </c>
      <c r="D34" s="38" t="s">
        <v>128</v>
      </c>
      <c r="E34" s="37" t="s">
        <v>226</v>
      </c>
      <c r="F34" s="37" t="s">
        <v>196</v>
      </c>
      <c r="G34" s="34">
        <v>46152</v>
      </c>
      <c r="H34" s="30">
        <v>19.3</v>
      </c>
      <c r="I34" s="37" t="s">
        <v>197</v>
      </c>
      <c r="J34" s="38">
        <v>111</v>
      </c>
      <c r="K34" s="34">
        <v>46155</v>
      </c>
      <c r="L34" s="30">
        <v>14.3</v>
      </c>
    </row>
    <row r="35" spans="1:12" x14ac:dyDescent="0.35">
      <c r="A35" s="42">
        <v>33</v>
      </c>
      <c r="B35" s="40" t="s">
        <v>20</v>
      </c>
      <c r="C35" s="41" t="s">
        <v>20</v>
      </c>
      <c r="D35" s="38" t="s">
        <v>227</v>
      </c>
      <c r="E35" s="37" t="s">
        <v>228</v>
      </c>
      <c r="F35" s="37" t="s">
        <v>196</v>
      </c>
      <c r="G35" s="34">
        <v>46152</v>
      </c>
      <c r="H35" s="30">
        <v>21.3</v>
      </c>
      <c r="I35" s="37" t="s">
        <v>197</v>
      </c>
      <c r="J35" s="37">
        <v>112</v>
      </c>
      <c r="K35" s="34">
        <v>46155</v>
      </c>
      <c r="L35" s="30">
        <v>14.3</v>
      </c>
    </row>
    <row r="36" spans="1:12" x14ac:dyDescent="0.35">
      <c r="A36" s="46">
        <v>34</v>
      </c>
      <c r="B36" s="40" t="s">
        <v>21</v>
      </c>
      <c r="C36" s="41" t="s">
        <v>20</v>
      </c>
      <c r="D36" s="38" t="s">
        <v>227</v>
      </c>
      <c r="E36" s="37" t="s">
        <v>228</v>
      </c>
      <c r="F36" s="37" t="s">
        <v>196</v>
      </c>
      <c r="G36" s="34">
        <v>46152</v>
      </c>
      <c r="H36" s="30">
        <v>21.3</v>
      </c>
      <c r="I36" s="37" t="s">
        <v>197</v>
      </c>
      <c r="J36" s="37">
        <v>112</v>
      </c>
      <c r="K36" s="34">
        <v>46155</v>
      </c>
      <c r="L36" s="30">
        <v>14.3</v>
      </c>
    </row>
    <row r="37" spans="1:12" x14ac:dyDescent="0.35">
      <c r="A37" s="42">
        <v>35</v>
      </c>
      <c r="B37" s="40" t="s">
        <v>155</v>
      </c>
      <c r="C37" s="41" t="s">
        <v>20</v>
      </c>
      <c r="D37" s="38" t="s">
        <v>227</v>
      </c>
      <c r="E37" s="37" t="s">
        <v>228</v>
      </c>
      <c r="F37" s="37" t="s">
        <v>196</v>
      </c>
      <c r="G37" s="34">
        <v>46152</v>
      </c>
      <c r="H37" s="30">
        <v>21.3</v>
      </c>
      <c r="I37" s="37" t="s">
        <v>197</v>
      </c>
      <c r="J37" s="37">
        <v>112</v>
      </c>
      <c r="K37" s="34">
        <v>46155</v>
      </c>
      <c r="L37" s="30">
        <v>14.3</v>
      </c>
    </row>
    <row r="38" spans="1:12" x14ac:dyDescent="0.35">
      <c r="A38" s="42">
        <v>36</v>
      </c>
      <c r="B38" s="40" t="s">
        <v>156</v>
      </c>
      <c r="C38" s="41" t="s">
        <v>20</v>
      </c>
      <c r="D38" s="38" t="s">
        <v>227</v>
      </c>
      <c r="E38" s="37" t="s">
        <v>228</v>
      </c>
      <c r="F38" s="37" t="s">
        <v>196</v>
      </c>
      <c r="G38" s="34">
        <v>46152</v>
      </c>
      <c r="H38" s="30">
        <v>21.3</v>
      </c>
      <c r="I38" s="37" t="s">
        <v>197</v>
      </c>
      <c r="J38" s="37">
        <v>112</v>
      </c>
      <c r="K38" s="34">
        <v>46155</v>
      </c>
      <c r="L38" s="30">
        <v>14.3</v>
      </c>
    </row>
    <row r="39" spans="1:12" x14ac:dyDescent="0.35">
      <c r="A39" s="46">
        <v>37</v>
      </c>
      <c r="B39" s="40" t="s">
        <v>7</v>
      </c>
      <c r="C39" s="41" t="s">
        <v>278</v>
      </c>
      <c r="D39" s="38" t="s">
        <v>145</v>
      </c>
      <c r="E39" s="37" t="s">
        <v>275</v>
      </c>
      <c r="F39" s="37" t="s">
        <v>199</v>
      </c>
      <c r="G39" s="34">
        <v>46152</v>
      </c>
      <c r="H39" s="30">
        <v>11.3</v>
      </c>
      <c r="I39" s="37" t="s">
        <v>197</v>
      </c>
      <c r="J39" s="38">
        <v>113</v>
      </c>
      <c r="K39" s="34">
        <v>46155</v>
      </c>
      <c r="L39" s="30">
        <v>14.3</v>
      </c>
    </row>
    <row r="40" spans="1:12" x14ac:dyDescent="0.35">
      <c r="A40" s="42">
        <v>38</v>
      </c>
      <c r="B40" s="40" t="s">
        <v>48</v>
      </c>
      <c r="C40" s="41" t="s">
        <v>278</v>
      </c>
      <c r="D40" s="38" t="s">
        <v>145</v>
      </c>
      <c r="E40" s="37" t="s">
        <v>275</v>
      </c>
      <c r="F40" s="37" t="s">
        <v>229</v>
      </c>
      <c r="G40" s="34">
        <v>46153</v>
      </c>
      <c r="H40" s="30">
        <v>11.3</v>
      </c>
      <c r="I40" s="37" t="s">
        <v>197</v>
      </c>
      <c r="J40" s="38">
        <v>202</v>
      </c>
      <c r="K40" s="34">
        <v>46155</v>
      </c>
      <c r="L40" s="30">
        <v>14.3</v>
      </c>
    </row>
    <row r="41" spans="1:12" x14ac:dyDescent="0.35">
      <c r="A41" s="42">
        <v>39</v>
      </c>
      <c r="B41" s="40" t="s">
        <v>49</v>
      </c>
      <c r="C41" s="41" t="s">
        <v>49</v>
      </c>
      <c r="D41" s="38" t="s">
        <v>128</v>
      </c>
      <c r="E41" s="37" t="s">
        <v>226</v>
      </c>
      <c r="F41" s="37" t="s">
        <v>196</v>
      </c>
      <c r="G41" s="34">
        <v>46152</v>
      </c>
      <c r="H41" s="30">
        <v>19.3</v>
      </c>
      <c r="I41" s="37" t="s">
        <v>230</v>
      </c>
      <c r="J41" s="37">
        <v>1</v>
      </c>
      <c r="K41" s="34">
        <v>46155</v>
      </c>
      <c r="L41" s="30">
        <v>14.3</v>
      </c>
    </row>
    <row r="42" spans="1:12" x14ac:dyDescent="0.35">
      <c r="A42" s="46">
        <v>40</v>
      </c>
      <c r="B42" s="40" t="s">
        <v>8</v>
      </c>
      <c r="C42" s="41" t="s">
        <v>49</v>
      </c>
      <c r="D42" s="38" t="s">
        <v>128</v>
      </c>
      <c r="E42" s="37" t="s">
        <v>226</v>
      </c>
      <c r="F42" s="37" t="s">
        <v>196</v>
      </c>
      <c r="G42" s="34">
        <v>46152</v>
      </c>
      <c r="H42" s="30">
        <v>19.3</v>
      </c>
      <c r="I42" s="37" t="s">
        <v>230</v>
      </c>
      <c r="J42" s="37">
        <v>1</v>
      </c>
      <c r="K42" s="34">
        <v>46155</v>
      </c>
      <c r="L42" s="30">
        <v>14.3</v>
      </c>
    </row>
    <row r="43" spans="1:12" x14ac:dyDescent="0.35">
      <c r="A43" s="42">
        <v>41</v>
      </c>
      <c r="B43" s="40" t="s">
        <v>29</v>
      </c>
      <c r="C43" s="41" t="s">
        <v>29</v>
      </c>
      <c r="D43" s="38" t="s">
        <v>128</v>
      </c>
      <c r="E43" s="37" t="s">
        <v>226</v>
      </c>
      <c r="F43" s="37" t="s">
        <v>196</v>
      </c>
      <c r="G43" s="34">
        <v>46152</v>
      </c>
      <c r="H43" s="30">
        <v>19.3</v>
      </c>
      <c r="I43" s="37" t="s">
        <v>197</v>
      </c>
      <c r="J43" s="37">
        <v>114</v>
      </c>
      <c r="K43" s="34">
        <v>46155</v>
      </c>
      <c r="L43" s="30">
        <v>14.3</v>
      </c>
    </row>
    <row r="44" spans="1:12" x14ac:dyDescent="0.35">
      <c r="A44" s="42">
        <v>42</v>
      </c>
      <c r="B44" s="40" t="s">
        <v>9</v>
      </c>
      <c r="C44" s="41" t="s">
        <v>29</v>
      </c>
      <c r="D44" s="38" t="s">
        <v>128</v>
      </c>
      <c r="E44" s="37" t="s">
        <v>226</v>
      </c>
      <c r="F44" s="37" t="s">
        <v>196</v>
      </c>
      <c r="G44" s="34">
        <v>46152</v>
      </c>
      <c r="H44" s="30">
        <v>19.3</v>
      </c>
      <c r="I44" s="37" t="s">
        <v>197</v>
      </c>
      <c r="J44" s="37">
        <v>114</v>
      </c>
      <c r="K44" s="34">
        <v>46155</v>
      </c>
      <c r="L44" s="30">
        <v>14.3</v>
      </c>
    </row>
    <row r="45" spans="1:12" x14ac:dyDescent="0.35">
      <c r="A45" s="46">
        <v>43</v>
      </c>
      <c r="B45" s="40" t="s">
        <v>50</v>
      </c>
      <c r="C45" s="41" t="s">
        <v>29</v>
      </c>
      <c r="D45" s="38" t="s">
        <v>128</v>
      </c>
      <c r="E45" s="37" t="s">
        <v>226</v>
      </c>
      <c r="F45" s="37" t="s">
        <v>196</v>
      </c>
      <c r="G45" s="34">
        <v>46152</v>
      </c>
      <c r="H45" s="30">
        <v>19.3</v>
      </c>
      <c r="I45" s="37" t="s">
        <v>197</v>
      </c>
      <c r="J45" s="37">
        <v>114</v>
      </c>
      <c r="K45" s="34">
        <v>46155</v>
      </c>
      <c r="L45" s="30">
        <v>14.3</v>
      </c>
    </row>
    <row r="46" spans="1:12" x14ac:dyDescent="0.35">
      <c r="A46" s="42">
        <v>44</v>
      </c>
      <c r="B46" s="40" t="s">
        <v>10</v>
      </c>
      <c r="C46" s="41" t="s">
        <v>10</v>
      </c>
      <c r="D46" s="38" t="s">
        <v>145</v>
      </c>
      <c r="E46" s="37" t="s">
        <v>275</v>
      </c>
      <c r="F46" s="37" t="s">
        <v>229</v>
      </c>
      <c r="G46" s="34">
        <v>46153</v>
      </c>
      <c r="H46" s="30">
        <v>11.3</v>
      </c>
      <c r="I46" s="37" t="s">
        <v>230</v>
      </c>
      <c r="J46" s="38">
        <v>2</v>
      </c>
      <c r="K46" s="34">
        <v>46155</v>
      </c>
      <c r="L46" s="30">
        <v>14.3</v>
      </c>
    </row>
    <row r="47" spans="1:12" x14ac:dyDescent="0.35">
      <c r="A47" s="42">
        <v>45</v>
      </c>
      <c r="B47" s="40" t="s">
        <v>51</v>
      </c>
      <c r="C47" s="41" t="s">
        <v>10</v>
      </c>
      <c r="D47" s="38" t="s">
        <v>145</v>
      </c>
      <c r="E47" s="37" t="s">
        <v>275</v>
      </c>
      <c r="F47" s="37" t="s">
        <v>229</v>
      </c>
      <c r="G47" s="34">
        <v>46153</v>
      </c>
      <c r="H47" s="30">
        <v>11.3</v>
      </c>
      <c r="I47" s="37" t="s">
        <v>230</v>
      </c>
      <c r="J47" s="38">
        <v>2</v>
      </c>
      <c r="K47" s="34">
        <v>46155</v>
      </c>
      <c r="L47" s="30">
        <v>14.3</v>
      </c>
    </row>
    <row r="48" spans="1:12" x14ac:dyDescent="0.35">
      <c r="A48" s="46">
        <v>46</v>
      </c>
      <c r="B48" s="40" t="s">
        <v>232</v>
      </c>
      <c r="C48" s="41" t="s">
        <v>231</v>
      </c>
      <c r="D48" s="37" t="s">
        <v>125</v>
      </c>
      <c r="E48" s="37" t="s">
        <v>195</v>
      </c>
      <c r="F48" s="37" t="s">
        <v>121</v>
      </c>
      <c r="G48" s="33">
        <v>46151</v>
      </c>
      <c r="H48" s="29">
        <v>14.3</v>
      </c>
      <c r="I48" s="37" t="s">
        <v>197</v>
      </c>
      <c r="J48" s="37">
        <v>201</v>
      </c>
      <c r="K48" s="33">
        <v>46156</v>
      </c>
      <c r="L48" s="29">
        <v>9.3000000000000007</v>
      </c>
    </row>
    <row r="49" spans="1:12" x14ac:dyDescent="0.35">
      <c r="A49" s="42">
        <v>47</v>
      </c>
      <c r="B49" s="40" t="s">
        <v>52</v>
      </c>
      <c r="C49" s="41" t="s">
        <v>231</v>
      </c>
      <c r="D49" s="37" t="s">
        <v>125</v>
      </c>
      <c r="E49" s="37" t="s">
        <v>195</v>
      </c>
      <c r="F49" s="37" t="s">
        <v>121</v>
      </c>
      <c r="G49" s="33">
        <v>46151</v>
      </c>
      <c r="H49" s="29">
        <v>14.3</v>
      </c>
      <c r="I49" s="37" t="s">
        <v>197</v>
      </c>
      <c r="J49" s="37">
        <v>201</v>
      </c>
      <c r="K49" s="33">
        <v>46156</v>
      </c>
      <c r="L49" s="29">
        <v>9.3000000000000007</v>
      </c>
    </row>
    <row r="50" spans="1:12" x14ac:dyDescent="0.35">
      <c r="A50" s="42">
        <v>48</v>
      </c>
      <c r="B50" s="40" t="s">
        <v>53</v>
      </c>
      <c r="C50" s="41" t="s">
        <v>233</v>
      </c>
      <c r="D50" s="38" t="s">
        <v>128</v>
      </c>
      <c r="E50" s="37" t="s">
        <v>238</v>
      </c>
      <c r="F50" s="37" t="s">
        <v>196</v>
      </c>
      <c r="G50" s="34">
        <v>46152</v>
      </c>
      <c r="H50" s="30">
        <v>19.3</v>
      </c>
      <c r="I50" s="37" t="s">
        <v>230</v>
      </c>
      <c r="J50" s="37">
        <v>3</v>
      </c>
      <c r="K50" s="34">
        <v>46155</v>
      </c>
      <c r="L50" s="30">
        <v>14.3</v>
      </c>
    </row>
    <row r="51" spans="1:12" x14ac:dyDescent="0.35">
      <c r="A51" s="46">
        <v>49</v>
      </c>
      <c r="B51" s="40" t="s">
        <v>38</v>
      </c>
      <c r="C51" s="41" t="s">
        <v>233</v>
      </c>
      <c r="D51" s="38" t="s">
        <v>128</v>
      </c>
      <c r="E51" s="37" t="s">
        <v>238</v>
      </c>
      <c r="F51" s="37" t="s">
        <v>196</v>
      </c>
      <c r="G51" s="34">
        <v>46152</v>
      </c>
      <c r="H51" s="30">
        <v>19.3</v>
      </c>
      <c r="I51" s="37" t="s">
        <v>230</v>
      </c>
      <c r="J51" s="37">
        <v>3</v>
      </c>
      <c r="K51" s="34">
        <v>46155</v>
      </c>
      <c r="L51" s="30">
        <v>14.3</v>
      </c>
    </row>
    <row r="52" spans="1:12" x14ac:dyDescent="0.35">
      <c r="A52" s="42">
        <v>50</v>
      </c>
      <c r="B52" s="40" t="s">
        <v>157</v>
      </c>
      <c r="C52" s="41" t="s">
        <v>25</v>
      </c>
      <c r="D52" s="38" t="s">
        <v>227</v>
      </c>
      <c r="E52" s="37" t="s">
        <v>228</v>
      </c>
      <c r="F52" s="37" t="s">
        <v>196</v>
      </c>
      <c r="G52" s="34">
        <v>46152</v>
      </c>
      <c r="H52" s="30">
        <v>21.3</v>
      </c>
      <c r="I52" s="37" t="s">
        <v>230</v>
      </c>
      <c r="J52" s="37">
        <v>4</v>
      </c>
      <c r="K52" s="34">
        <v>46155</v>
      </c>
      <c r="L52" s="30">
        <v>14.3</v>
      </c>
    </row>
    <row r="53" spans="1:12" x14ac:dyDescent="0.35">
      <c r="A53" s="42">
        <v>51</v>
      </c>
      <c r="B53" s="40" t="s">
        <v>26</v>
      </c>
      <c r="C53" s="41" t="s">
        <v>25</v>
      </c>
      <c r="D53" s="38" t="s">
        <v>128</v>
      </c>
      <c r="E53" s="37" t="s">
        <v>238</v>
      </c>
      <c r="F53" s="37" t="s">
        <v>196</v>
      </c>
      <c r="G53" s="34">
        <v>46152</v>
      </c>
      <c r="H53" s="30">
        <v>19.3</v>
      </c>
      <c r="I53" s="37" t="s">
        <v>230</v>
      </c>
      <c r="J53" s="37">
        <v>4</v>
      </c>
      <c r="K53" s="34">
        <v>46155</v>
      </c>
      <c r="L53" s="30">
        <v>14.3</v>
      </c>
    </row>
    <row r="54" spans="1:12" x14ac:dyDescent="0.35">
      <c r="A54" s="46">
        <v>52</v>
      </c>
      <c r="B54" s="40" t="s">
        <v>54</v>
      </c>
      <c r="C54" s="41" t="s">
        <v>25</v>
      </c>
      <c r="D54" s="38" t="s">
        <v>128</v>
      </c>
      <c r="E54" s="37" t="s">
        <v>238</v>
      </c>
      <c r="F54" s="37" t="s">
        <v>196</v>
      </c>
      <c r="G54" s="34">
        <v>46152</v>
      </c>
      <c r="H54" s="30">
        <v>19.3</v>
      </c>
      <c r="I54" s="37" t="s">
        <v>230</v>
      </c>
      <c r="J54" s="37">
        <v>4</v>
      </c>
      <c r="K54" s="34">
        <v>46155</v>
      </c>
      <c r="L54" s="30">
        <v>14.3</v>
      </c>
    </row>
    <row r="55" spans="1:12" x14ac:dyDescent="0.35">
      <c r="A55" s="42">
        <v>53</v>
      </c>
      <c r="B55" s="40" t="s">
        <v>11</v>
      </c>
      <c r="C55" s="41" t="s">
        <v>11</v>
      </c>
      <c r="D55" s="38" t="s">
        <v>145</v>
      </c>
      <c r="E55" s="37" t="s">
        <v>275</v>
      </c>
      <c r="F55" s="37" t="s">
        <v>234</v>
      </c>
      <c r="G55" s="34">
        <v>46153</v>
      </c>
      <c r="H55" s="30">
        <v>5.3</v>
      </c>
      <c r="I55" s="37" t="s">
        <v>197</v>
      </c>
      <c r="J55" s="38">
        <v>202</v>
      </c>
      <c r="K55" s="34">
        <v>46155</v>
      </c>
      <c r="L55" s="30">
        <v>14.3</v>
      </c>
    </row>
    <row r="56" spans="1:12" x14ac:dyDescent="0.35">
      <c r="A56" s="42">
        <v>54</v>
      </c>
      <c r="B56" s="40" t="s">
        <v>82</v>
      </c>
      <c r="C56" s="41" t="s">
        <v>11</v>
      </c>
      <c r="D56" s="38" t="s">
        <v>145</v>
      </c>
      <c r="E56" s="37" t="s">
        <v>275</v>
      </c>
      <c r="F56" s="37" t="s">
        <v>234</v>
      </c>
      <c r="G56" s="34">
        <v>46153</v>
      </c>
      <c r="H56" s="30">
        <v>5.3</v>
      </c>
      <c r="I56" s="37" t="s">
        <v>197</v>
      </c>
      <c r="J56" s="38">
        <v>202</v>
      </c>
      <c r="K56" s="34">
        <v>46155</v>
      </c>
      <c r="L56" s="30">
        <v>14.3</v>
      </c>
    </row>
    <row r="57" spans="1:12" x14ac:dyDescent="0.35">
      <c r="A57" s="46">
        <v>55</v>
      </c>
      <c r="B57" s="40" t="s">
        <v>158</v>
      </c>
      <c r="C57" s="41" t="s">
        <v>11</v>
      </c>
      <c r="D57" s="38" t="s">
        <v>145</v>
      </c>
      <c r="E57" s="37" t="s">
        <v>275</v>
      </c>
      <c r="F57" s="37" t="s">
        <v>234</v>
      </c>
      <c r="G57" s="34">
        <v>46153</v>
      </c>
      <c r="H57" s="30">
        <v>5.3</v>
      </c>
      <c r="I57" s="37" t="s">
        <v>197</v>
      </c>
      <c r="J57" s="38">
        <v>202</v>
      </c>
      <c r="K57" s="34">
        <v>46155</v>
      </c>
      <c r="L57" s="30">
        <v>14.3</v>
      </c>
    </row>
    <row r="58" spans="1:12" x14ac:dyDescent="0.35">
      <c r="A58" s="42">
        <v>56</v>
      </c>
      <c r="B58" s="40" t="s">
        <v>83</v>
      </c>
      <c r="C58" s="41" t="s">
        <v>278</v>
      </c>
      <c r="D58" s="38" t="s">
        <v>145</v>
      </c>
      <c r="E58" s="37" t="s">
        <v>276</v>
      </c>
      <c r="F58" s="37" t="s">
        <v>225</v>
      </c>
      <c r="G58" s="34">
        <v>46152</v>
      </c>
      <c r="H58" s="30">
        <v>19.3</v>
      </c>
      <c r="I58" s="37" t="s">
        <v>197</v>
      </c>
      <c r="J58" s="38">
        <v>113</v>
      </c>
      <c r="K58" s="34">
        <v>46155</v>
      </c>
      <c r="L58" s="30">
        <v>14.3</v>
      </c>
    </row>
    <row r="59" spans="1:12" x14ac:dyDescent="0.35">
      <c r="A59" s="42">
        <v>57</v>
      </c>
      <c r="B59" s="40" t="s">
        <v>236</v>
      </c>
      <c r="C59" s="41" t="s">
        <v>23</v>
      </c>
      <c r="D59" s="38" t="s">
        <v>145</v>
      </c>
      <c r="E59" s="37" t="s">
        <v>276</v>
      </c>
      <c r="F59" s="37" t="s">
        <v>225</v>
      </c>
      <c r="G59" s="34">
        <v>46152</v>
      </c>
      <c r="H59" s="30">
        <v>19.3</v>
      </c>
      <c r="I59" s="37" t="s">
        <v>230</v>
      </c>
      <c r="J59" s="38">
        <v>5</v>
      </c>
      <c r="K59" s="34">
        <v>46155</v>
      </c>
      <c r="L59" s="30">
        <v>14.3</v>
      </c>
    </row>
    <row r="60" spans="1:12" x14ac:dyDescent="0.35">
      <c r="A60" s="46">
        <v>58</v>
      </c>
      <c r="B60" s="40" t="s">
        <v>235</v>
      </c>
      <c r="C60" s="41" t="s">
        <v>23</v>
      </c>
      <c r="D60" s="38" t="s">
        <v>145</v>
      </c>
      <c r="E60" s="37" t="s">
        <v>276</v>
      </c>
      <c r="F60" s="37" t="s">
        <v>225</v>
      </c>
      <c r="G60" s="34">
        <v>46152</v>
      </c>
      <c r="H60" s="30">
        <v>19.3</v>
      </c>
      <c r="I60" s="37" t="s">
        <v>230</v>
      </c>
      <c r="J60" s="38">
        <v>5</v>
      </c>
      <c r="K60" s="34">
        <v>46155</v>
      </c>
      <c r="L60" s="30">
        <v>14.3</v>
      </c>
    </row>
    <row r="61" spans="1:12" x14ac:dyDescent="0.35">
      <c r="A61" s="42">
        <v>59</v>
      </c>
      <c r="B61" s="40" t="s">
        <v>13</v>
      </c>
      <c r="C61" s="41" t="s">
        <v>113</v>
      </c>
      <c r="D61" s="38" t="s">
        <v>227</v>
      </c>
      <c r="E61" s="37" t="s">
        <v>269</v>
      </c>
      <c r="F61" s="37" t="s">
        <v>237</v>
      </c>
      <c r="G61" s="34">
        <v>46153</v>
      </c>
      <c r="H61" s="30">
        <v>11.3</v>
      </c>
      <c r="I61" s="37" t="s">
        <v>230</v>
      </c>
      <c r="J61" s="38">
        <v>6</v>
      </c>
      <c r="K61" s="34">
        <v>46155</v>
      </c>
      <c r="L61" s="30">
        <v>14.3</v>
      </c>
    </row>
    <row r="62" spans="1:12" x14ac:dyDescent="0.35">
      <c r="A62" s="42">
        <v>60</v>
      </c>
      <c r="B62" s="40" t="s">
        <v>55</v>
      </c>
      <c r="C62" s="41" t="s">
        <v>113</v>
      </c>
      <c r="D62" s="38" t="s">
        <v>227</v>
      </c>
      <c r="E62" s="37" t="s">
        <v>269</v>
      </c>
      <c r="F62" s="37" t="s">
        <v>237</v>
      </c>
      <c r="G62" s="34">
        <v>46153</v>
      </c>
      <c r="H62" s="30">
        <v>11.3</v>
      </c>
      <c r="I62" s="37" t="s">
        <v>230</v>
      </c>
      <c r="J62" s="38">
        <v>6</v>
      </c>
      <c r="K62" s="34">
        <v>46155</v>
      </c>
      <c r="L62" s="30">
        <v>14.3</v>
      </c>
    </row>
    <row r="63" spans="1:12" x14ac:dyDescent="0.35">
      <c r="A63" s="46">
        <v>61</v>
      </c>
      <c r="B63" s="40" t="s">
        <v>14</v>
      </c>
      <c r="C63" s="41" t="s">
        <v>14</v>
      </c>
      <c r="D63" s="38" t="s">
        <v>128</v>
      </c>
      <c r="E63" s="37" t="s">
        <v>238</v>
      </c>
      <c r="F63" s="37" t="s">
        <v>196</v>
      </c>
      <c r="G63" s="34">
        <v>46152</v>
      </c>
      <c r="H63" s="30">
        <v>19.3</v>
      </c>
      <c r="I63" s="37" t="s">
        <v>197</v>
      </c>
      <c r="J63" s="38">
        <v>203</v>
      </c>
      <c r="K63" s="34">
        <v>46155</v>
      </c>
      <c r="L63" s="30">
        <v>14.3</v>
      </c>
    </row>
    <row r="64" spans="1:12" x14ac:dyDescent="0.35">
      <c r="A64" s="42">
        <v>62</v>
      </c>
      <c r="B64" s="40" t="s">
        <v>37</v>
      </c>
      <c r="C64" s="41" t="s">
        <v>14</v>
      </c>
      <c r="D64" s="38" t="s">
        <v>128</v>
      </c>
      <c r="E64" s="37" t="s">
        <v>238</v>
      </c>
      <c r="F64" s="37" t="s">
        <v>196</v>
      </c>
      <c r="G64" s="34">
        <v>46152</v>
      </c>
      <c r="H64" s="30">
        <v>19.3</v>
      </c>
      <c r="I64" s="37" t="s">
        <v>197</v>
      </c>
      <c r="J64" s="38">
        <v>203</v>
      </c>
      <c r="K64" s="34">
        <v>46155</v>
      </c>
      <c r="L64" s="30">
        <v>14.3</v>
      </c>
    </row>
    <row r="65" spans="1:12" x14ac:dyDescent="0.35">
      <c r="A65" s="42">
        <v>63</v>
      </c>
      <c r="B65" s="40" t="s">
        <v>159</v>
      </c>
      <c r="C65" s="41" t="s">
        <v>14</v>
      </c>
      <c r="D65" s="38" t="s">
        <v>128</v>
      </c>
      <c r="E65" s="37" t="s">
        <v>238</v>
      </c>
      <c r="F65" s="37" t="s">
        <v>196</v>
      </c>
      <c r="G65" s="34">
        <v>46152</v>
      </c>
      <c r="H65" s="30">
        <v>19.3</v>
      </c>
      <c r="I65" s="37" t="s">
        <v>197</v>
      </c>
      <c r="J65" s="37">
        <v>203</v>
      </c>
      <c r="K65" s="34">
        <v>46155</v>
      </c>
      <c r="L65" s="30">
        <v>14.3</v>
      </c>
    </row>
    <row r="66" spans="1:12" x14ac:dyDescent="0.35">
      <c r="A66" s="46">
        <v>64</v>
      </c>
      <c r="B66" s="40" t="s">
        <v>57</v>
      </c>
      <c r="C66" s="40" t="s">
        <v>57</v>
      </c>
      <c r="D66" s="38" t="s">
        <v>128</v>
      </c>
      <c r="E66" s="37" t="s">
        <v>221</v>
      </c>
      <c r="F66" s="37" t="s">
        <v>121</v>
      </c>
      <c r="G66" s="34">
        <v>46152</v>
      </c>
      <c r="H66" s="30">
        <v>19.3</v>
      </c>
      <c r="I66" s="37" t="s">
        <v>197</v>
      </c>
      <c r="J66" s="38">
        <v>204</v>
      </c>
      <c r="K66" s="34">
        <v>46155</v>
      </c>
      <c r="L66" s="30">
        <v>14.3</v>
      </c>
    </row>
    <row r="67" spans="1:12" x14ac:dyDescent="0.35">
      <c r="A67" s="42">
        <v>65</v>
      </c>
      <c r="B67" s="40" t="s">
        <v>58</v>
      </c>
      <c r="C67" s="40" t="s">
        <v>57</v>
      </c>
      <c r="D67" s="38" t="s">
        <v>128</v>
      </c>
      <c r="E67" s="37" t="s">
        <v>221</v>
      </c>
      <c r="F67" s="37" t="s">
        <v>121</v>
      </c>
      <c r="G67" s="34">
        <v>46152</v>
      </c>
      <c r="H67" s="30">
        <v>19.3</v>
      </c>
      <c r="I67" s="37" t="s">
        <v>197</v>
      </c>
      <c r="J67" s="38">
        <v>204</v>
      </c>
      <c r="K67" s="34">
        <v>46155</v>
      </c>
      <c r="L67" s="30">
        <v>14.3</v>
      </c>
    </row>
    <row r="68" spans="1:12" x14ac:dyDescent="0.35">
      <c r="A68" s="42">
        <v>66</v>
      </c>
      <c r="B68" s="35" t="s">
        <v>31</v>
      </c>
      <c r="C68" s="35" t="s">
        <v>86</v>
      </c>
      <c r="D68" s="31" t="s">
        <v>227</v>
      </c>
      <c r="E68" s="39" t="s">
        <v>270</v>
      </c>
      <c r="F68" s="39" t="s">
        <v>237</v>
      </c>
      <c r="G68" s="36">
        <v>46153</v>
      </c>
      <c r="H68" s="32">
        <v>11.3</v>
      </c>
      <c r="I68" s="39" t="s">
        <v>230</v>
      </c>
      <c r="J68" s="31">
        <v>7</v>
      </c>
      <c r="K68" s="36">
        <v>46155</v>
      </c>
      <c r="L68" s="32">
        <v>14.3</v>
      </c>
    </row>
    <row r="69" spans="1:12" x14ac:dyDescent="0.35">
      <c r="A69" s="46">
        <v>67</v>
      </c>
      <c r="B69" s="35" t="s">
        <v>220</v>
      </c>
      <c r="C69" s="35" t="s">
        <v>86</v>
      </c>
      <c r="D69" s="31" t="s">
        <v>227</v>
      </c>
      <c r="E69" s="39" t="s">
        <v>270</v>
      </c>
      <c r="F69" s="39" t="s">
        <v>237</v>
      </c>
      <c r="G69" s="36">
        <v>46153</v>
      </c>
      <c r="H69" s="32">
        <v>11.3</v>
      </c>
      <c r="I69" s="39" t="s">
        <v>230</v>
      </c>
      <c r="J69" s="31">
        <v>7</v>
      </c>
      <c r="K69" s="36">
        <v>46155</v>
      </c>
      <c r="L69" s="32">
        <v>14.3</v>
      </c>
    </row>
    <row r="70" spans="1:12" x14ac:dyDescent="0.35">
      <c r="A70" s="42">
        <v>68</v>
      </c>
      <c r="B70" s="40" t="s">
        <v>59</v>
      </c>
      <c r="C70" s="40" t="s">
        <v>239</v>
      </c>
      <c r="D70" s="38" t="s">
        <v>227</v>
      </c>
      <c r="E70" s="37" t="s">
        <v>271</v>
      </c>
      <c r="F70" s="37" t="s">
        <v>237</v>
      </c>
      <c r="G70" s="34">
        <v>46152</v>
      </c>
      <c r="H70" s="30">
        <v>11.3</v>
      </c>
      <c r="I70" s="37" t="s">
        <v>197</v>
      </c>
      <c r="J70" s="38">
        <v>205</v>
      </c>
      <c r="K70" s="34">
        <v>46155</v>
      </c>
      <c r="L70" s="30">
        <v>14.3</v>
      </c>
    </row>
    <row r="71" spans="1:12" x14ac:dyDescent="0.35">
      <c r="A71" s="42">
        <v>69</v>
      </c>
      <c r="B71" s="40" t="s">
        <v>60</v>
      </c>
      <c r="C71" s="40" t="s">
        <v>239</v>
      </c>
      <c r="D71" s="38" t="s">
        <v>227</v>
      </c>
      <c r="E71" s="37" t="s">
        <v>271</v>
      </c>
      <c r="F71" s="37" t="s">
        <v>237</v>
      </c>
      <c r="G71" s="34">
        <v>46152</v>
      </c>
      <c r="H71" s="30">
        <v>11.3</v>
      </c>
      <c r="I71" s="37" t="s">
        <v>197</v>
      </c>
      <c r="J71" s="38">
        <v>205</v>
      </c>
      <c r="K71" s="34">
        <v>46155</v>
      </c>
      <c r="L71" s="30">
        <v>14.3</v>
      </c>
    </row>
    <row r="72" spans="1:12" x14ac:dyDescent="0.35">
      <c r="A72" s="46">
        <v>70</v>
      </c>
      <c r="B72" s="40" t="s">
        <v>27</v>
      </c>
      <c r="C72" s="40" t="s">
        <v>239</v>
      </c>
      <c r="D72" s="38" t="s">
        <v>227</v>
      </c>
      <c r="E72" s="37" t="s">
        <v>271</v>
      </c>
      <c r="F72" s="37" t="s">
        <v>237</v>
      </c>
      <c r="G72" s="34">
        <v>46152</v>
      </c>
      <c r="H72" s="30">
        <v>11.3</v>
      </c>
      <c r="I72" s="37" t="s">
        <v>197</v>
      </c>
      <c r="J72" s="38">
        <v>205</v>
      </c>
      <c r="K72" s="34">
        <v>46155</v>
      </c>
      <c r="L72" s="30">
        <v>14.3</v>
      </c>
    </row>
    <row r="73" spans="1:12" x14ac:dyDescent="0.35">
      <c r="A73" s="42">
        <v>71</v>
      </c>
      <c r="B73" s="40" t="s">
        <v>61</v>
      </c>
      <c r="C73" s="40" t="s">
        <v>177</v>
      </c>
      <c r="D73" s="38" t="s">
        <v>145</v>
      </c>
      <c r="E73" s="37" t="s">
        <v>237</v>
      </c>
      <c r="F73" s="37" t="s">
        <v>225</v>
      </c>
      <c r="G73" s="34">
        <v>46153</v>
      </c>
      <c r="H73" s="30">
        <v>11.3</v>
      </c>
      <c r="I73" s="37" t="s">
        <v>230</v>
      </c>
      <c r="J73" s="38">
        <v>8</v>
      </c>
      <c r="K73" s="34">
        <v>46155</v>
      </c>
      <c r="L73" s="30">
        <v>14.3</v>
      </c>
    </row>
    <row r="74" spans="1:12" x14ac:dyDescent="0.35">
      <c r="A74" s="42">
        <v>72</v>
      </c>
      <c r="B74" s="40" t="s">
        <v>177</v>
      </c>
      <c r="C74" s="40" t="s">
        <v>177</v>
      </c>
      <c r="D74" s="38" t="s">
        <v>145</v>
      </c>
      <c r="E74" s="37" t="s">
        <v>237</v>
      </c>
      <c r="F74" s="37" t="s">
        <v>225</v>
      </c>
      <c r="G74" s="34">
        <v>46153</v>
      </c>
      <c r="H74" s="30">
        <v>11.3</v>
      </c>
      <c r="I74" s="37" t="s">
        <v>230</v>
      </c>
      <c r="J74" s="38">
        <v>8</v>
      </c>
      <c r="K74" s="34">
        <v>46155</v>
      </c>
      <c r="L74" s="30">
        <v>14.3</v>
      </c>
    </row>
    <row r="75" spans="1:12" x14ac:dyDescent="0.35">
      <c r="A75" s="46">
        <v>73</v>
      </c>
      <c r="B75" s="40" t="s">
        <v>62</v>
      </c>
      <c r="C75" s="40" t="s">
        <v>240</v>
      </c>
      <c r="D75" s="38" t="s">
        <v>227</v>
      </c>
      <c r="E75" s="37" t="s">
        <v>273</v>
      </c>
      <c r="F75" s="37" t="s">
        <v>196</v>
      </c>
      <c r="G75" s="34">
        <v>46153</v>
      </c>
      <c r="H75" s="30">
        <v>11.3</v>
      </c>
      <c r="I75" s="37" t="s">
        <v>230</v>
      </c>
      <c r="J75" s="38">
        <v>9</v>
      </c>
      <c r="K75" s="34">
        <v>46154</v>
      </c>
      <c r="L75" s="30">
        <v>18.3</v>
      </c>
    </row>
    <row r="76" spans="1:12" x14ac:dyDescent="0.35">
      <c r="A76" s="42">
        <v>74</v>
      </c>
      <c r="B76" s="40" t="s">
        <v>277</v>
      </c>
      <c r="C76" s="40" t="s">
        <v>240</v>
      </c>
      <c r="D76" s="38" t="s">
        <v>227</v>
      </c>
      <c r="E76" s="37" t="s">
        <v>273</v>
      </c>
      <c r="F76" s="37" t="s">
        <v>196</v>
      </c>
      <c r="G76" s="34">
        <v>46153</v>
      </c>
      <c r="H76" s="30">
        <v>11.3</v>
      </c>
      <c r="I76" s="37" t="s">
        <v>230</v>
      </c>
      <c r="J76" s="38">
        <v>9</v>
      </c>
      <c r="K76" s="34">
        <v>46154</v>
      </c>
      <c r="L76" s="30">
        <v>18.3</v>
      </c>
    </row>
    <row r="77" spans="1:12" x14ac:dyDescent="0.35">
      <c r="A77" s="42">
        <v>75</v>
      </c>
      <c r="B77" s="40" t="s">
        <v>279</v>
      </c>
      <c r="C77" s="40" t="s">
        <v>278</v>
      </c>
      <c r="D77" s="38" t="s">
        <v>227</v>
      </c>
      <c r="E77" s="37" t="s">
        <v>273</v>
      </c>
      <c r="F77" s="37" t="s">
        <v>196</v>
      </c>
      <c r="G77" s="34">
        <v>46153</v>
      </c>
      <c r="H77" s="30">
        <v>11.3</v>
      </c>
      <c r="I77" s="37" t="s">
        <v>230</v>
      </c>
      <c r="J77" s="38">
        <v>10</v>
      </c>
      <c r="K77" s="34">
        <v>46154</v>
      </c>
      <c r="L77" s="30">
        <v>18.3</v>
      </c>
    </row>
    <row r="78" spans="1:12" x14ac:dyDescent="0.35">
      <c r="A78" s="46">
        <v>76</v>
      </c>
      <c r="B78" s="35" t="s">
        <v>63</v>
      </c>
      <c r="C78" s="35" t="s">
        <v>241</v>
      </c>
      <c r="D78" s="31" t="s">
        <v>242</v>
      </c>
      <c r="E78" s="31" t="s">
        <v>242</v>
      </c>
      <c r="F78" s="39" t="s">
        <v>237</v>
      </c>
      <c r="G78" s="36">
        <v>46153</v>
      </c>
      <c r="H78" s="32">
        <v>17.3</v>
      </c>
      <c r="I78" s="39" t="s">
        <v>230</v>
      </c>
      <c r="J78" s="31">
        <v>11</v>
      </c>
      <c r="K78" s="36">
        <v>46155</v>
      </c>
      <c r="L78" s="32">
        <v>14.3</v>
      </c>
    </row>
    <row r="79" spans="1:12" x14ac:dyDescent="0.35">
      <c r="A79" s="42">
        <v>77</v>
      </c>
      <c r="B79" s="35" t="s">
        <v>64</v>
      </c>
      <c r="C79" s="35" t="s">
        <v>241</v>
      </c>
      <c r="D79" s="31" t="s">
        <v>242</v>
      </c>
      <c r="E79" s="31" t="s">
        <v>242</v>
      </c>
      <c r="F79" s="39" t="s">
        <v>237</v>
      </c>
      <c r="G79" s="36">
        <v>46153</v>
      </c>
      <c r="H79" s="32">
        <v>17.3</v>
      </c>
      <c r="I79" s="39" t="s">
        <v>230</v>
      </c>
      <c r="J79" s="31">
        <v>11</v>
      </c>
      <c r="K79" s="36">
        <v>46155</v>
      </c>
      <c r="L79" s="32">
        <v>14.3</v>
      </c>
    </row>
    <row r="80" spans="1:12" x14ac:dyDescent="0.35">
      <c r="A80" s="42">
        <v>78</v>
      </c>
      <c r="B80" s="40" t="s">
        <v>18</v>
      </c>
      <c r="C80" s="40" t="s">
        <v>17</v>
      </c>
      <c r="D80" s="38" t="s">
        <v>222</v>
      </c>
      <c r="E80" s="37" t="s">
        <v>237</v>
      </c>
      <c r="F80" s="37" t="s">
        <v>243</v>
      </c>
      <c r="G80" s="34">
        <v>46153</v>
      </c>
      <c r="H80" s="30">
        <v>15.3</v>
      </c>
      <c r="I80" s="37" t="s">
        <v>197</v>
      </c>
      <c r="J80" s="38">
        <v>214</v>
      </c>
      <c r="K80" s="34">
        <v>46155</v>
      </c>
      <c r="L80" s="30">
        <v>14.3</v>
      </c>
    </row>
    <row r="81" spans="1:12" x14ac:dyDescent="0.35">
      <c r="A81" s="46">
        <v>79</v>
      </c>
      <c r="B81" s="40" t="s">
        <v>17</v>
      </c>
      <c r="C81" s="40" t="s">
        <v>17</v>
      </c>
      <c r="D81" s="38" t="s">
        <v>222</v>
      </c>
      <c r="E81" s="37" t="s">
        <v>237</v>
      </c>
      <c r="F81" s="37" t="s">
        <v>243</v>
      </c>
      <c r="G81" s="34">
        <v>46153</v>
      </c>
      <c r="H81" s="30">
        <v>15.3</v>
      </c>
      <c r="I81" s="37" t="s">
        <v>197</v>
      </c>
      <c r="J81" s="38">
        <v>214</v>
      </c>
      <c r="K81" s="34">
        <v>46155</v>
      </c>
      <c r="L81" s="30">
        <v>14.3</v>
      </c>
    </row>
    <row r="82" spans="1:12" x14ac:dyDescent="0.35">
      <c r="A82" s="42">
        <v>80</v>
      </c>
      <c r="B82" s="40" t="s">
        <v>161</v>
      </c>
      <c r="C82" s="41" t="s">
        <v>161</v>
      </c>
      <c r="D82" s="38" t="s">
        <v>128</v>
      </c>
      <c r="E82" s="37" t="s">
        <v>226</v>
      </c>
      <c r="F82" s="37" t="s">
        <v>196</v>
      </c>
      <c r="G82" s="34">
        <v>46152</v>
      </c>
      <c r="H82" s="30">
        <v>19.3</v>
      </c>
      <c r="I82" s="37" t="s">
        <v>197</v>
      </c>
      <c r="J82" s="37">
        <v>206</v>
      </c>
      <c r="K82" s="34">
        <v>46155</v>
      </c>
      <c r="L82" s="30">
        <v>14.3</v>
      </c>
    </row>
    <row r="83" spans="1:12" x14ac:dyDescent="0.35">
      <c r="A83" s="42">
        <v>81</v>
      </c>
      <c r="B83" s="40" t="s">
        <v>65</v>
      </c>
      <c r="C83" s="41" t="s">
        <v>161</v>
      </c>
      <c r="D83" s="38" t="s">
        <v>128</v>
      </c>
      <c r="E83" s="37" t="s">
        <v>226</v>
      </c>
      <c r="F83" s="37" t="s">
        <v>196</v>
      </c>
      <c r="G83" s="34">
        <v>46152</v>
      </c>
      <c r="H83" s="30">
        <v>19.3</v>
      </c>
      <c r="I83" s="37" t="s">
        <v>197</v>
      </c>
      <c r="J83" s="37">
        <v>206</v>
      </c>
      <c r="K83" s="34">
        <v>46155</v>
      </c>
      <c r="L83" s="30">
        <v>14.3</v>
      </c>
    </row>
    <row r="84" spans="1:12" x14ac:dyDescent="0.35">
      <c r="A84" s="46">
        <v>82</v>
      </c>
      <c r="B84" s="40" t="s">
        <v>30</v>
      </c>
      <c r="C84" s="40" t="s">
        <v>244</v>
      </c>
      <c r="D84" s="38" t="s">
        <v>227</v>
      </c>
      <c r="E84" s="37" t="s">
        <v>269</v>
      </c>
      <c r="F84" s="37" t="s">
        <v>237</v>
      </c>
      <c r="G84" s="34">
        <v>46153</v>
      </c>
      <c r="H84" s="30">
        <v>11.3</v>
      </c>
      <c r="I84" s="37" t="s">
        <v>230</v>
      </c>
      <c r="J84" s="38">
        <v>12</v>
      </c>
      <c r="K84" s="34">
        <v>46155</v>
      </c>
      <c r="L84" s="30">
        <v>14.3</v>
      </c>
    </row>
    <row r="85" spans="1:12" x14ac:dyDescent="0.35">
      <c r="A85" s="42">
        <v>83</v>
      </c>
      <c r="B85" s="40" t="s">
        <v>66</v>
      </c>
      <c r="C85" s="40" t="s">
        <v>244</v>
      </c>
      <c r="D85" s="38" t="s">
        <v>227</v>
      </c>
      <c r="E85" s="37" t="s">
        <v>269</v>
      </c>
      <c r="F85" s="37" t="s">
        <v>237</v>
      </c>
      <c r="G85" s="34">
        <v>46153</v>
      </c>
      <c r="H85" s="30">
        <v>11.3</v>
      </c>
      <c r="I85" s="37" t="s">
        <v>230</v>
      </c>
      <c r="J85" s="38">
        <v>12</v>
      </c>
      <c r="K85" s="34">
        <v>46155</v>
      </c>
      <c r="L85" s="30">
        <v>14.3</v>
      </c>
    </row>
    <row r="86" spans="1:12" x14ac:dyDescent="0.35">
      <c r="A86" s="42">
        <v>84</v>
      </c>
      <c r="B86" s="40" t="s">
        <v>12</v>
      </c>
      <c r="C86" s="40" t="s">
        <v>202</v>
      </c>
      <c r="D86" s="38" t="s">
        <v>128</v>
      </c>
      <c r="E86" s="37" t="s">
        <v>238</v>
      </c>
      <c r="F86" s="37" t="s">
        <v>196</v>
      </c>
      <c r="G86" s="34">
        <v>46152</v>
      </c>
      <c r="H86" s="30">
        <v>19.3</v>
      </c>
      <c r="I86" s="37" t="s">
        <v>230</v>
      </c>
      <c r="J86" s="37">
        <v>13</v>
      </c>
      <c r="K86" s="34">
        <v>46155</v>
      </c>
      <c r="L86" s="30">
        <v>14.3</v>
      </c>
    </row>
    <row r="87" spans="1:12" x14ac:dyDescent="0.35">
      <c r="A87" s="46">
        <v>85</v>
      </c>
      <c r="B87" s="40" t="s">
        <v>67</v>
      </c>
      <c r="C87" s="40" t="s">
        <v>202</v>
      </c>
      <c r="D87" s="38" t="s">
        <v>128</v>
      </c>
      <c r="E87" s="37" t="s">
        <v>238</v>
      </c>
      <c r="F87" s="37" t="s">
        <v>196</v>
      </c>
      <c r="G87" s="34">
        <v>46152</v>
      </c>
      <c r="H87" s="30">
        <v>19.3</v>
      </c>
      <c r="I87" s="37" t="s">
        <v>230</v>
      </c>
      <c r="J87" s="37">
        <v>13</v>
      </c>
      <c r="K87" s="34">
        <v>46155</v>
      </c>
      <c r="L87" s="30">
        <v>14.3</v>
      </c>
    </row>
    <row r="88" spans="1:12" x14ac:dyDescent="0.35">
      <c r="A88" s="42">
        <v>86</v>
      </c>
      <c r="B88" s="40" t="s">
        <v>16</v>
      </c>
      <c r="C88" s="40" t="s">
        <v>245</v>
      </c>
      <c r="D88" s="38" t="s">
        <v>145</v>
      </c>
      <c r="E88" s="37" t="s">
        <v>275</v>
      </c>
      <c r="F88" s="37" t="s">
        <v>246</v>
      </c>
      <c r="G88" s="34">
        <v>46152</v>
      </c>
      <c r="H88" s="30">
        <v>9.3000000000000007</v>
      </c>
      <c r="I88" s="37" t="s">
        <v>230</v>
      </c>
      <c r="J88" s="37">
        <v>14</v>
      </c>
      <c r="K88" s="34">
        <v>46155</v>
      </c>
      <c r="L88" s="30">
        <v>14.3</v>
      </c>
    </row>
    <row r="89" spans="1:12" x14ac:dyDescent="0.35">
      <c r="A89" s="42">
        <v>87</v>
      </c>
      <c r="B89" s="40" t="s">
        <v>68</v>
      </c>
      <c r="C89" s="40" t="s">
        <v>245</v>
      </c>
      <c r="D89" s="38" t="s">
        <v>145</v>
      </c>
      <c r="E89" s="37" t="s">
        <v>275</v>
      </c>
      <c r="F89" s="37" t="s">
        <v>246</v>
      </c>
      <c r="G89" s="34">
        <v>46152</v>
      </c>
      <c r="H89" s="30">
        <v>9.3000000000000007</v>
      </c>
      <c r="I89" s="37" t="s">
        <v>230</v>
      </c>
      <c r="J89" s="37">
        <v>14</v>
      </c>
      <c r="K89" s="34">
        <v>46155</v>
      </c>
      <c r="L89" s="30">
        <v>14.3</v>
      </c>
    </row>
    <row r="90" spans="1:12" x14ac:dyDescent="0.35">
      <c r="A90" s="46">
        <v>88</v>
      </c>
      <c r="B90" s="40" t="s">
        <v>28</v>
      </c>
      <c r="C90" s="40" t="s">
        <v>247</v>
      </c>
      <c r="D90" s="38" t="s">
        <v>128</v>
      </c>
      <c r="E90" s="37" t="s">
        <v>226</v>
      </c>
      <c r="F90" s="37" t="s">
        <v>196</v>
      </c>
      <c r="G90" s="34">
        <v>46152</v>
      </c>
      <c r="H90" s="30">
        <v>19.3</v>
      </c>
      <c r="I90" s="37" t="s">
        <v>230</v>
      </c>
      <c r="J90" s="37">
        <v>15</v>
      </c>
      <c r="K90" s="34">
        <v>46155</v>
      </c>
      <c r="L90" s="30">
        <v>14.3</v>
      </c>
    </row>
    <row r="91" spans="1:12" x14ac:dyDescent="0.35">
      <c r="A91" s="42">
        <v>89</v>
      </c>
      <c r="B91" s="40" t="s">
        <v>69</v>
      </c>
      <c r="C91" s="40" t="s">
        <v>247</v>
      </c>
      <c r="D91" s="38" t="s">
        <v>128</v>
      </c>
      <c r="E91" s="37" t="s">
        <v>226</v>
      </c>
      <c r="F91" s="37" t="s">
        <v>196</v>
      </c>
      <c r="G91" s="34">
        <v>46152</v>
      </c>
      <c r="H91" s="30">
        <v>19.3</v>
      </c>
      <c r="I91" s="37" t="s">
        <v>230</v>
      </c>
      <c r="J91" s="37">
        <v>15</v>
      </c>
      <c r="K91" s="34">
        <v>46155</v>
      </c>
      <c r="L91" s="30">
        <v>14.3</v>
      </c>
    </row>
    <row r="92" spans="1:12" x14ac:dyDescent="0.35">
      <c r="A92" s="42">
        <v>90</v>
      </c>
      <c r="B92" s="40" t="s">
        <v>71</v>
      </c>
      <c r="C92" s="40" t="s">
        <v>248</v>
      </c>
      <c r="D92" s="38" t="s">
        <v>125</v>
      </c>
      <c r="E92" s="37" t="s">
        <v>249</v>
      </c>
      <c r="F92" s="37" t="s">
        <v>121</v>
      </c>
      <c r="G92" s="34">
        <v>46152</v>
      </c>
      <c r="H92" s="30">
        <v>19.3</v>
      </c>
      <c r="I92" s="37" t="s">
        <v>197</v>
      </c>
      <c r="J92" s="37">
        <v>207</v>
      </c>
      <c r="K92" s="34">
        <v>46155</v>
      </c>
      <c r="L92" s="30">
        <v>14.3</v>
      </c>
    </row>
    <row r="93" spans="1:12" x14ac:dyDescent="0.35">
      <c r="A93" s="46">
        <v>91</v>
      </c>
      <c r="B93" s="40" t="s">
        <v>117</v>
      </c>
      <c r="C93" s="40" t="s">
        <v>248</v>
      </c>
      <c r="D93" s="38" t="s">
        <v>125</v>
      </c>
      <c r="E93" s="37" t="s">
        <v>249</v>
      </c>
      <c r="F93" s="37" t="s">
        <v>121</v>
      </c>
      <c r="G93" s="34">
        <v>46152</v>
      </c>
      <c r="H93" s="30">
        <v>19.3</v>
      </c>
      <c r="I93" s="37" t="s">
        <v>197</v>
      </c>
      <c r="J93" s="37">
        <v>207</v>
      </c>
      <c r="K93" s="34">
        <v>46155</v>
      </c>
      <c r="L93" s="30">
        <v>14.3</v>
      </c>
    </row>
    <row r="94" spans="1:12" x14ac:dyDescent="0.35">
      <c r="A94" s="42">
        <v>92</v>
      </c>
      <c r="B94" s="40" t="s">
        <v>72</v>
      </c>
      <c r="C94" s="40" t="s">
        <v>250</v>
      </c>
      <c r="D94" s="38" t="s">
        <v>128</v>
      </c>
      <c r="E94" s="37" t="s">
        <v>238</v>
      </c>
      <c r="F94" s="37" t="s">
        <v>196</v>
      </c>
      <c r="G94" s="34">
        <v>46152</v>
      </c>
      <c r="H94" s="30">
        <v>19.3</v>
      </c>
      <c r="I94" s="37" t="s">
        <v>230</v>
      </c>
      <c r="J94" s="37">
        <v>16</v>
      </c>
      <c r="K94" s="34">
        <v>46155</v>
      </c>
      <c r="L94" s="30">
        <v>14.3</v>
      </c>
    </row>
    <row r="95" spans="1:12" x14ac:dyDescent="0.35">
      <c r="A95" s="42">
        <v>93</v>
      </c>
      <c r="B95" s="40" t="s">
        <v>73</v>
      </c>
      <c r="C95" s="40" t="s">
        <v>250</v>
      </c>
      <c r="D95" s="38" t="s">
        <v>128</v>
      </c>
      <c r="E95" s="37" t="s">
        <v>238</v>
      </c>
      <c r="F95" s="37" t="s">
        <v>196</v>
      </c>
      <c r="G95" s="34">
        <v>46152</v>
      </c>
      <c r="H95" s="30">
        <v>19.3</v>
      </c>
      <c r="I95" s="37" t="s">
        <v>230</v>
      </c>
      <c r="J95" s="37">
        <v>16</v>
      </c>
      <c r="K95" s="34">
        <v>46155</v>
      </c>
      <c r="L95" s="30">
        <v>14.3</v>
      </c>
    </row>
    <row r="96" spans="1:12" x14ac:dyDescent="0.35">
      <c r="A96" s="46">
        <v>94</v>
      </c>
      <c r="B96" s="35" t="s">
        <v>74</v>
      </c>
      <c r="C96" s="35" t="s">
        <v>251</v>
      </c>
      <c r="D96" s="31" t="s">
        <v>145</v>
      </c>
      <c r="E96" s="39" t="s">
        <v>275</v>
      </c>
      <c r="F96" s="39" t="s">
        <v>246</v>
      </c>
      <c r="G96" s="36">
        <v>46152</v>
      </c>
      <c r="H96" s="31"/>
      <c r="I96" s="31" t="s">
        <v>230</v>
      </c>
      <c r="J96" s="31">
        <v>17</v>
      </c>
      <c r="K96" s="35"/>
      <c r="L96" s="31"/>
    </row>
    <row r="97" spans="1:12" x14ac:dyDescent="0.35">
      <c r="A97" s="42">
        <v>95</v>
      </c>
      <c r="B97" s="35" t="s">
        <v>252</v>
      </c>
      <c r="C97" s="35" t="s">
        <v>251</v>
      </c>
      <c r="D97" s="31" t="s">
        <v>145</v>
      </c>
      <c r="E97" s="39" t="s">
        <v>275</v>
      </c>
      <c r="F97" s="39" t="s">
        <v>246</v>
      </c>
      <c r="G97" s="36">
        <v>46152</v>
      </c>
      <c r="H97" s="31"/>
      <c r="I97" s="31" t="s">
        <v>230</v>
      </c>
      <c r="J97" s="31">
        <v>17</v>
      </c>
      <c r="K97" s="35"/>
      <c r="L97" s="31"/>
    </row>
    <row r="98" spans="1:12" x14ac:dyDescent="0.35">
      <c r="A98" s="42">
        <v>96</v>
      </c>
      <c r="B98" s="40" t="s">
        <v>75</v>
      </c>
      <c r="C98" s="40" t="s">
        <v>254</v>
      </c>
      <c r="D98" s="38" t="s">
        <v>128</v>
      </c>
      <c r="E98" s="37" t="s">
        <v>238</v>
      </c>
      <c r="F98" s="37" t="s">
        <v>196</v>
      </c>
      <c r="G98" s="34">
        <v>46152</v>
      </c>
      <c r="H98" s="30">
        <v>19.3</v>
      </c>
      <c r="I98" s="37" t="s">
        <v>230</v>
      </c>
      <c r="J98" s="37">
        <v>18</v>
      </c>
      <c r="K98" s="34">
        <v>46155</v>
      </c>
      <c r="L98" s="30">
        <v>14.3</v>
      </c>
    </row>
    <row r="99" spans="1:12" x14ac:dyDescent="0.35">
      <c r="A99" s="46">
        <v>97</v>
      </c>
      <c r="B99" s="40" t="s">
        <v>253</v>
      </c>
      <c r="C99" s="40" t="s">
        <v>254</v>
      </c>
      <c r="D99" s="38" t="s">
        <v>128</v>
      </c>
      <c r="E99" s="37" t="s">
        <v>238</v>
      </c>
      <c r="F99" s="37" t="s">
        <v>196</v>
      </c>
      <c r="G99" s="34">
        <v>46152</v>
      </c>
      <c r="H99" s="30">
        <v>19.3</v>
      </c>
      <c r="I99" s="37" t="s">
        <v>230</v>
      </c>
      <c r="J99" s="37">
        <v>18</v>
      </c>
      <c r="K99" s="34">
        <v>46155</v>
      </c>
      <c r="L99" s="30">
        <v>14.3</v>
      </c>
    </row>
    <row r="100" spans="1:12" x14ac:dyDescent="0.35">
      <c r="A100" s="42">
        <v>98</v>
      </c>
      <c r="B100" s="35" t="s">
        <v>280</v>
      </c>
      <c r="C100" s="35" t="s">
        <v>251</v>
      </c>
      <c r="D100" s="31" t="s">
        <v>145</v>
      </c>
      <c r="E100" s="39" t="s">
        <v>275</v>
      </c>
      <c r="F100" s="39" t="s">
        <v>246</v>
      </c>
      <c r="G100" s="36">
        <v>46152</v>
      </c>
      <c r="H100" s="31"/>
      <c r="I100" s="31" t="s">
        <v>230</v>
      </c>
      <c r="J100" s="31">
        <v>17</v>
      </c>
      <c r="K100" s="35"/>
      <c r="L100" s="31"/>
    </row>
    <row r="101" spans="1:12" x14ac:dyDescent="0.35">
      <c r="A101" s="42">
        <v>99</v>
      </c>
      <c r="B101" s="35" t="s">
        <v>76</v>
      </c>
      <c r="C101" s="35" t="s">
        <v>255</v>
      </c>
      <c r="D101" s="31" t="s">
        <v>227</v>
      </c>
      <c r="E101" s="39" t="s">
        <v>272</v>
      </c>
      <c r="F101" s="39" t="s">
        <v>194</v>
      </c>
      <c r="G101" s="36">
        <v>46152</v>
      </c>
      <c r="H101" s="31"/>
      <c r="I101" s="39" t="s">
        <v>197</v>
      </c>
      <c r="J101" s="31">
        <v>208</v>
      </c>
      <c r="K101" s="35"/>
      <c r="L101" s="31"/>
    </row>
    <row r="102" spans="1:12" x14ac:dyDescent="0.35">
      <c r="A102" s="46">
        <v>100</v>
      </c>
      <c r="B102" s="35" t="s">
        <v>15</v>
      </c>
      <c r="C102" s="35" t="s">
        <v>255</v>
      </c>
      <c r="D102" s="31" t="s">
        <v>227</v>
      </c>
      <c r="E102" s="39" t="s">
        <v>272</v>
      </c>
      <c r="F102" s="39" t="s">
        <v>194</v>
      </c>
      <c r="G102" s="36">
        <v>46152</v>
      </c>
      <c r="H102" s="31"/>
      <c r="I102" s="39" t="s">
        <v>197</v>
      </c>
      <c r="J102" s="31">
        <v>208</v>
      </c>
      <c r="K102" s="35"/>
      <c r="L102" s="31"/>
    </row>
    <row r="103" spans="1:12" x14ac:dyDescent="0.35">
      <c r="A103" s="42">
        <v>101</v>
      </c>
      <c r="B103" s="35" t="s">
        <v>162</v>
      </c>
      <c r="C103" s="35" t="s">
        <v>255</v>
      </c>
      <c r="D103" s="31" t="s">
        <v>227</v>
      </c>
      <c r="E103" s="39" t="s">
        <v>272</v>
      </c>
      <c r="F103" s="39" t="s">
        <v>194</v>
      </c>
      <c r="G103" s="36">
        <v>46152</v>
      </c>
      <c r="H103" s="31"/>
      <c r="I103" s="39" t="s">
        <v>197</v>
      </c>
      <c r="J103" s="31">
        <v>208</v>
      </c>
      <c r="K103" s="35"/>
      <c r="L103" s="31"/>
    </row>
    <row r="104" spans="1:12" x14ac:dyDescent="0.35">
      <c r="A104" s="42">
        <v>102</v>
      </c>
      <c r="B104" s="35" t="s">
        <v>163</v>
      </c>
      <c r="C104" s="35" t="s">
        <v>255</v>
      </c>
      <c r="D104" s="31" t="s">
        <v>227</v>
      </c>
      <c r="E104" s="39" t="s">
        <v>272</v>
      </c>
      <c r="F104" s="39" t="s">
        <v>194</v>
      </c>
      <c r="G104" s="36">
        <v>46152</v>
      </c>
      <c r="H104" s="31"/>
      <c r="I104" s="39" t="s">
        <v>197</v>
      </c>
      <c r="J104" s="31">
        <v>208</v>
      </c>
      <c r="K104" s="35"/>
      <c r="L104" s="31"/>
    </row>
    <row r="105" spans="1:12" x14ac:dyDescent="0.35">
      <c r="A105" s="46">
        <v>103</v>
      </c>
      <c r="B105" s="35" t="s">
        <v>164</v>
      </c>
      <c r="C105" s="35" t="s">
        <v>255</v>
      </c>
      <c r="D105" s="31" t="s">
        <v>227</v>
      </c>
      <c r="E105" s="39" t="s">
        <v>272</v>
      </c>
      <c r="F105" s="39" t="s">
        <v>194</v>
      </c>
      <c r="G105" s="36">
        <v>46152</v>
      </c>
      <c r="H105" s="31"/>
      <c r="I105" s="39" t="s">
        <v>197</v>
      </c>
      <c r="J105" s="31">
        <v>208</v>
      </c>
      <c r="K105" s="35"/>
      <c r="L105" s="31"/>
    </row>
    <row r="106" spans="1:12" x14ac:dyDescent="0.35">
      <c r="A106" s="42">
        <v>104</v>
      </c>
      <c r="B106" s="40" t="s">
        <v>165</v>
      </c>
      <c r="C106" s="40" t="s">
        <v>77</v>
      </c>
      <c r="D106" s="38" t="s">
        <v>222</v>
      </c>
      <c r="E106" s="37" t="s">
        <v>274</v>
      </c>
      <c r="F106" s="37" t="s">
        <v>89</v>
      </c>
      <c r="G106" s="34">
        <v>46152</v>
      </c>
      <c r="H106" s="30">
        <v>19.3</v>
      </c>
      <c r="I106" s="37" t="s">
        <v>197</v>
      </c>
      <c r="J106" s="37">
        <v>209</v>
      </c>
      <c r="K106" s="34">
        <v>46155</v>
      </c>
      <c r="L106" s="30">
        <v>14.3</v>
      </c>
    </row>
    <row r="107" spans="1:12" x14ac:dyDescent="0.35">
      <c r="A107" s="42">
        <v>105</v>
      </c>
      <c r="B107" s="40" t="s">
        <v>166</v>
      </c>
      <c r="C107" s="40" t="s">
        <v>77</v>
      </c>
      <c r="D107" s="38" t="s">
        <v>222</v>
      </c>
      <c r="E107" s="37" t="s">
        <v>274</v>
      </c>
      <c r="F107" s="37" t="s">
        <v>89</v>
      </c>
      <c r="G107" s="34">
        <v>46152</v>
      </c>
      <c r="H107" s="30">
        <v>19.3</v>
      </c>
      <c r="I107" s="37" t="s">
        <v>197</v>
      </c>
      <c r="J107" s="37">
        <v>209</v>
      </c>
      <c r="K107" s="34">
        <v>46155</v>
      </c>
      <c r="L107" s="30">
        <v>14.3</v>
      </c>
    </row>
    <row r="108" spans="1:12" x14ac:dyDescent="0.35">
      <c r="A108" s="46">
        <v>106</v>
      </c>
      <c r="B108" s="40" t="s">
        <v>167</v>
      </c>
      <c r="C108" s="40" t="s">
        <v>77</v>
      </c>
      <c r="D108" s="38" t="s">
        <v>222</v>
      </c>
      <c r="E108" s="37" t="s">
        <v>274</v>
      </c>
      <c r="F108" s="37" t="s">
        <v>89</v>
      </c>
      <c r="G108" s="34">
        <v>46152</v>
      </c>
      <c r="H108" s="30">
        <v>19.3</v>
      </c>
      <c r="I108" s="37" t="s">
        <v>197</v>
      </c>
      <c r="J108" s="37">
        <v>209</v>
      </c>
      <c r="K108" s="34">
        <v>46155</v>
      </c>
      <c r="L108" s="30">
        <v>14.3</v>
      </c>
    </row>
    <row r="109" spans="1:12" x14ac:dyDescent="0.35">
      <c r="A109" s="42">
        <v>107</v>
      </c>
      <c r="B109" s="40" t="s">
        <v>168</v>
      </c>
      <c r="C109" s="40" t="s">
        <v>77</v>
      </c>
      <c r="D109" s="38" t="s">
        <v>222</v>
      </c>
      <c r="E109" s="37" t="s">
        <v>274</v>
      </c>
      <c r="F109" s="37" t="s">
        <v>89</v>
      </c>
      <c r="G109" s="34">
        <v>46152</v>
      </c>
      <c r="H109" s="30">
        <v>19.3</v>
      </c>
      <c r="I109" s="37" t="s">
        <v>197</v>
      </c>
      <c r="J109" s="37">
        <v>210</v>
      </c>
      <c r="K109" s="34">
        <v>46155</v>
      </c>
      <c r="L109" s="30">
        <v>14.3</v>
      </c>
    </row>
    <row r="110" spans="1:12" x14ac:dyDescent="0.35">
      <c r="A110" s="42">
        <v>108</v>
      </c>
      <c r="B110" s="40" t="s">
        <v>169</v>
      </c>
      <c r="C110" s="40" t="s">
        <v>77</v>
      </c>
      <c r="D110" s="38" t="s">
        <v>222</v>
      </c>
      <c r="E110" s="37" t="s">
        <v>274</v>
      </c>
      <c r="F110" s="37" t="s">
        <v>89</v>
      </c>
      <c r="G110" s="34">
        <v>46152</v>
      </c>
      <c r="H110" s="30">
        <v>19.3</v>
      </c>
      <c r="I110" s="37" t="s">
        <v>197</v>
      </c>
      <c r="J110" s="37">
        <v>210</v>
      </c>
      <c r="K110" s="34">
        <v>46155</v>
      </c>
      <c r="L110" s="30">
        <v>14.3</v>
      </c>
    </row>
    <row r="111" spans="1:12" x14ac:dyDescent="0.35">
      <c r="A111" s="46">
        <v>109</v>
      </c>
      <c r="B111" s="40" t="s">
        <v>78</v>
      </c>
      <c r="C111" s="40" t="s">
        <v>256</v>
      </c>
      <c r="D111" s="38" t="s">
        <v>145</v>
      </c>
      <c r="E111" s="37" t="s">
        <v>275</v>
      </c>
      <c r="F111" s="37" t="s">
        <v>257</v>
      </c>
      <c r="G111" s="34">
        <v>46152</v>
      </c>
      <c r="H111" s="30">
        <v>17</v>
      </c>
      <c r="I111" s="37" t="s">
        <v>230</v>
      </c>
      <c r="J111" s="37">
        <v>19</v>
      </c>
      <c r="K111" s="34">
        <v>46155</v>
      </c>
      <c r="L111" s="30">
        <v>14.3</v>
      </c>
    </row>
    <row r="112" spans="1:12" x14ac:dyDescent="0.35">
      <c r="A112" s="42">
        <v>110</v>
      </c>
      <c r="B112" s="40" t="s">
        <v>5</v>
      </c>
      <c r="C112" s="40" t="s">
        <v>256</v>
      </c>
      <c r="D112" s="38" t="s">
        <v>145</v>
      </c>
      <c r="E112" s="37" t="s">
        <v>275</v>
      </c>
      <c r="F112" s="37" t="s">
        <v>257</v>
      </c>
      <c r="G112" s="34">
        <v>46152</v>
      </c>
      <c r="H112" s="30">
        <v>17</v>
      </c>
      <c r="I112" s="37" t="s">
        <v>230</v>
      </c>
      <c r="J112" s="37">
        <v>19</v>
      </c>
      <c r="K112" s="34">
        <v>46155</v>
      </c>
      <c r="L112" s="30">
        <v>14.3</v>
      </c>
    </row>
    <row r="113" spans="1:12" x14ac:dyDescent="0.35">
      <c r="A113" s="42">
        <v>111</v>
      </c>
      <c r="B113" s="40" t="s">
        <v>79</v>
      </c>
      <c r="C113" s="40" t="s">
        <v>258</v>
      </c>
      <c r="D113" s="38" t="s">
        <v>227</v>
      </c>
      <c r="E113" s="37" t="s">
        <v>268</v>
      </c>
      <c r="F113" s="37" t="s">
        <v>196</v>
      </c>
      <c r="G113" s="34">
        <v>46152</v>
      </c>
      <c r="H113" s="30">
        <v>17</v>
      </c>
      <c r="I113" s="37" t="s">
        <v>283</v>
      </c>
      <c r="J113" s="37" t="s">
        <v>284</v>
      </c>
      <c r="K113" s="34">
        <v>46155</v>
      </c>
      <c r="L113" s="30">
        <v>14.3</v>
      </c>
    </row>
    <row r="114" spans="1:12" x14ac:dyDescent="0.35">
      <c r="A114" s="46">
        <v>112</v>
      </c>
      <c r="B114" s="40" t="s">
        <v>170</v>
      </c>
      <c r="C114" s="40" t="s">
        <v>258</v>
      </c>
      <c r="D114" s="38" t="s">
        <v>227</v>
      </c>
      <c r="E114" s="37" t="s">
        <v>268</v>
      </c>
      <c r="F114" s="37" t="s">
        <v>196</v>
      </c>
      <c r="G114" s="34">
        <v>46152</v>
      </c>
      <c r="H114" s="30">
        <v>17</v>
      </c>
      <c r="I114" s="37" t="s">
        <v>283</v>
      </c>
      <c r="J114" s="37" t="s">
        <v>284</v>
      </c>
      <c r="K114" s="34">
        <v>46155</v>
      </c>
      <c r="L114" s="30">
        <v>14.3</v>
      </c>
    </row>
    <row r="115" spans="1:12" x14ac:dyDescent="0.35">
      <c r="A115" s="42">
        <v>113</v>
      </c>
      <c r="B115" s="40" t="s">
        <v>80</v>
      </c>
      <c r="C115" s="40" t="s">
        <v>259</v>
      </c>
      <c r="D115" s="38" t="s">
        <v>227</v>
      </c>
      <c r="E115" s="37" t="s">
        <v>261</v>
      </c>
      <c r="F115" s="37" t="s">
        <v>260</v>
      </c>
      <c r="G115" s="34">
        <v>46152</v>
      </c>
      <c r="H115" s="30">
        <v>17</v>
      </c>
      <c r="I115" s="37" t="s">
        <v>197</v>
      </c>
      <c r="J115" s="37">
        <v>211</v>
      </c>
      <c r="K115" s="34">
        <v>46155</v>
      </c>
      <c r="L115" s="30">
        <v>14.3</v>
      </c>
    </row>
    <row r="116" spans="1:12" x14ac:dyDescent="0.35">
      <c r="A116" s="42">
        <v>114</v>
      </c>
      <c r="B116" s="40" t="s">
        <v>0</v>
      </c>
      <c r="C116" s="40" t="s">
        <v>259</v>
      </c>
      <c r="D116" s="38" t="s">
        <v>227</v>
      </c>
      <c r="E116" s="37" t="s">
        <v>261</v>
      </c>
      <c r="F116" s="37" t="s">
        <v>260</v>
      </c>
      <c r="G116" s="34">
        <v>46152</v>
      </c>
      <c r="H116" s="30">
        <v>17</v>
      </c>
      <c r="I116" s="37" t="s">
        <v>197</v>
      </c>
      <c r="J116" s="37">
        <v>211</v>
      </c>
      <c r="K116" s="34">
        <v>46155</v>
      </c>
      <c r="L116" s="30">
        <v>14.3</v>
      </c>
    </row>
    <row r="117" spans="1:12" x14ac:dyDescent="0.35">
      <c r="A117" s="46">
        <v>115</v>
      </c>
      <c r="B117" s="40" t="s">
        <v>171</v>
      </c>
      <c r="C117" s="40" t="s">
        <v>259</v>
      </c>
      <c r="D117" s="38" t="s">
        <v>227</v>
      </c>
      <c r="E117" s="37" t="s">
        <v>261</v>
      </c>
      <c r="F117" s="37" t="s">
        <v>260</v>
      </c>
      <c r="G117" s="34">
        <v>46152</v>
      </c>
      <c r="H117" s="30">
        <v>17</v>
      </c>
      <c r="I117" s="37" t="s">
        <v>197</v>
      </c>
      <c r="J117" s="37">
        <v>211</v>
      </c>
      <c r="K117" s="34">
        <v>46155</v>
      </c>
      <c r="L117" s="30">
        <v>14.3</v>
      </c>
    </row>
    <row r="118" spans="1:12" x14ac:dyDescent="0.35">
      <c r="A118" s="42">
        <v>116</v>
      </c>
      <c r="B118" s="40" t="s">
        <v>32</v>
      </c>
      <c r="C118" s="40" t="s">
        <v>259</v>
      </c>
      <c r="D118" s="38" t="s">
        <v>227</v>
      </c>
      <c r="E118" s="37" t="s">
        <v>261</v>
      </c>
      <c r="F118" s="37" t="s">
        <v>260</v>
      </c>
      <c r="G118" s="34">
        <v>46152</v>
      </c>
      <c r="H118" s="30">
        <v>17</v>
      </c>
      <c r="I118" s="37" t="s">
        <v>197</v>
      </c>
      <c r="J118" s="37">
        <v>212</v>
      </c>
      <c r="K118" s="34">
        <v>46155</v>
      </c>
      <c r="L118" s="30">
        <v>14.3</v>
      </c>
    </row>
    <row r="119" spans="1:12" x14ac:dyDescent="0.35">
      <c r="A119" s="42">
        <v>117</v>
      </c>
      <c r="B119" s="40" t="s">
        <v>81</v>
      </c>
      <c r="C119" s="40" t="s">
        <v>259</v>
      </c>
      <c r="D119" s="38" t="s">
        <v>227</v>
      </c>
      <c r="E119" s="37" t="s">
        <v>261</v>
      </c>
      <c r="F119" s="37" t="s">
        <v>260</v>
      </c>
      <c r="G119" s="34">
        <v>46152</v>
      </c>
      <c r="H119" s="30">
        <v>17</v>
      </c>
      <c r="I119" s="37" t="s">
        <v>197</v>
      </c>
      <c r="J119" s="37">
        <v>212</v>
      </c>
      <c r="K119" s="34">
        <v>46155</v>
      </c>
      <c r="L119" s="30">
        <v>14.3</v>
      </c>
    </row>
    <row r="120" spans="1:12" x14ac:dyDescent="0.35">
      <c r="A120" s="46">
        <v>118</v>
      </c>
      <c r="B120" s="40" t="s">
        <v>40</v>
      </c>
      <c r="C120" s="40" t="s">
        <v>259</v>
      </c>
      <c r="D120" s="38" t="s">
        <v>227</v>
      </c>
      <c r="E120" s="37" t="s">
        <v>261</v>
      </c>
      <c r="F120" s="37" t="s">
        <v>260</v>
      </c>
      <c r="G120" s="34">
        <v>46152</v>
      </c>
      <c r="H120" s="30">
        <v>17</v>
      </c>
      <c r="I120" s="37" t="s">
        <v>197</v>
      </c>
      <c r="J120" s="37">
        <v>212</v>
      </c>
      <c r="K120" s="34">
        <v>46155</v>
      </c>
      <c r="L120" s="30">
        <v>14.3</v>
      </c>
    </row>
    <row r="121" spans="1:12" x14ac:dyDescent="0.35">
      <c r="A121" s="42">
        <v>119</v>
      </c>
      <c r="B121" s="40" t="s">
        <v>174</v>
      </c>
      <c r="C121" s="40" t="s">
        <v>262</v>
      </c>
      <c r="D121" s="38" t="s">
        <v>145</v>
      </c>
      <c r="E121" s="38" t="s">
        <v>237</v>
      </c>
      <c r="F121" s="38" t="s">
        <v>121</v>
      </c>
      <c r="G121" s="34">
        <v>46153</v>
      </c>
      <c r="H121" s="30">
        <v>9.3000000000000007</v>
      </c>
      <c r="I121" s="37" t="s">
        <v>230</v>
      </c>
      <c r="J121" s="38">
        <v>20</v>
      </c>
      <c r="K121" s="34">
        <v>46154</v>
      </c>
      <c r="L121" s="30">
        <v>23.3</v>
      </c>
    </row>
    <row r="122" spans="1:12" x14ac:dyDescent="0.35">
      <c r="A122" s="42">
        <v>120</v>
      </c>
      <c r="B122" s="40" t="s">
        <v>175</v>
      </c>
      <c r="C122" s="40" t="s">
        <v>262</v>
      </c>
      <c r="D122" s="38" t="s">
        <v>145</v>
      </c>
      <c r="E122" s="38" t="s">
        <v>237</v>
      </c>
      <c r="F122" s="38" t="s">
        <v>121</v>
      </c>
      <c r="G122" s="34">
        <v>46153</v>
      </c>
      <c r="H122" s="30">
        <v>9.3000000000000007</v>
      </c>
      <c r="I122" s="37" t="s">
        <v>230</v>
      </c>
      <c r="J122" s="38">
        <v>20</v>
      </c>
      <c r="K122" s="34">
        <v>46154</v>
      </c>
      <c r="L122" s="30">
        <v>23.3</v>
      </c>
    </row>
    <row r="123" spans="1:12" x14ac:dyDescent="0.35">
      <c r="A123" s="46">
        <v>121</v>
      </c>
      <c r="B123" s="40" t="s">
        <v>211</v>
      </c>
      <c r="C123" s="40" t="s">
        <v>266</v>
      </c>
      <c r="D123" s="38" t="s">
        <v>125</v>
      </c>
      <c r="E123" s="37" t="s">
        <v>249</v>
      </c>
      <c r="F123" s="37" t="s">
        <v>121</v>
      </c>
      <c r="G123" s="34">
        <v>46152</v>
      </c>
      <c r="H123" s="30">
        <v>19.3</v>
      </c>
      <c r="I123" s="37" t="s">
        <v>197</v>
      </c>
      <c r="J123" s="37">
        <v>213</v>
      </c>
      <c r="K123" s="34">
        <v>46155</v>
      </c>
      <c r="L123" s="30">
        <v>14.3</v>
      </c>
    </row>
    <row r="124" spans="1:12" x14ac:dyDescent="0.35">
      <c r="A124" s="42">
        <v>122</v>
      </c>
      <c r="B124" s="40" t="s">
        <v>264</v>
      </c>
      <c r="C124" s="40" t="s">
        <v>266</v>
      </c>
      <c r="D124" s="38" t="s">
        <v>125</v>
      </c>
      <c r="E124" s="37" t="s">
        <v>249</v>
      </c>
      <c r="F124" s="37" t="s">
        <v>121</v>
      </c>
      <c r="G124" s="34">
        <v>46152</v>
      </c>
      <c r="H124" s="30">
        <v>19.3</v>
      </c>
      <c r="I124" s="37" t="s">
        <v>197</v>
      </c>
      <c r="J124" s="37">
        <v>213</v>
      </c>
      <c r="K124" s="34">
        <v>46155</v>
      </c>
      <c r="L124" s="30">
        <v>14.3</v>
      </c>
    </row>
    <row r="125" spans="1:12" x14ac:dyDescent="0.35">
      <c r="A125" s="42">
        <v>123</v>
      </c>
      <c r="B125" s="40" t="s">
        <v>265</v>
      </c>
      <c r="C125" s="40" t="s">
        <v>278</v>
      </c>
      <c r="D125" s="38" t="s">
        <v>125</v>
      </c>
      <c r="E125" s="37" t="s">
        <v>249</v>
      </c>
      <c r="F125" s="37" t="s">
        <v>121</v>
      </c>
      <c r="G125" s="34">
        <v>46152</v>
      </c>
      <c r="H125" s="30">
        <v>19.3</v>
      </c>
      <c r="I125" s="37" t="s">
        <v>197</v>
      </c>
      <c r="J125" s="37">
        <v>207</v>
      </c>
      <c r="K125" s="34">
        <v>46155</v>
      </c>
      <c r="L125" s="30">
        <v>14.3</v>
      </c>
    </row>
    <row r="126" spans="1:12" x14ac:dyDescent="0.35">
      <c r="A126" s="42"/>
      <c r="B126" s="35" t="s">
        <v>281</v>
      </c>
      <c r="C126" s="35" t="s">
        <v>281</v>
      </c>
      <c r="D126" s="31"/>
      <c r="E126" s="31"/>
      <c r="F126" s="31"/>
      <c r="G126" s="35"/>
      <c r="H126" s="31"/>
      <c r="I126" s="31"/>
      <c r="J126" s="31"/>
      <c r="K126" s="35"/>
      <c r="L126" s="31"/>
    </row>
    <row r="127" spans="1:12" x14ac:dyDescent="0.35">
      <c r="A127" s="42"/>
      <c r="B127" s="35" t="s">
        <v>56</v>
      </c>
      <c r="C127" s="35" t="s">
        <v>281</v>
      </c>
      <c r="D127" s="31"/>
      <c r="E127" s="31"/>
      <c r="F127" s="31"/>
      <c r="G127" s="35"/>
      <c r="H127" s="31"/>
      <c r="I127" s="31"/>
      <c r="J127" s="31"/>
      <c r="K127" s="35"/>
      <c r="L127" s="31"/>
    </row>
    <row r="128" spans="1:12" x14ac:dyDescent="0.35">
      <c r="A128" s="42"/>
      <c r="B128" s="35" t="s">
        <v>160</v>
      </c>
      <c r="C128" s="35" t="s">
        <v>281</v>
      </c>
      <c r="D128" s="31"/>
      <c r="E128" s="31"/>
      <c r="F128" s="31"/>
      <c r="G128" s="35"/>
      <c r="H128" s="31"/>
      <c r="I128" s="31"/>
      <c r="J128" s="31"/>
      <c r="K128" s="35"/>
      <c r="L128" s="31"/>
    </row>
    <row r="129" spans="1:12" x14ac:dyDescent="0.35">
      <c r="A129" s="42"/>
      <c r="B129" s="35" t="s">
        <v>70</v>
      </c>
      <c r="C129" s="35" t="s">
        <v>282</v>
      </c>
      <c r="D129" s="31"/>
      <c r="E129" s="31"/>
      <c r="F129" s="31"/>
      <c r="G129" s="35"/>
      <c r="H129" s="31"/>
      <c r="I129" s="31"/>
      <c r="J129" s="31"/>
      <c r="K129" s="35"/>
      <c r="L129" s="31"/>
    </row>
    <row r="130" spans="1:12" x14ac:dyDescent="0.35">
      <c r="A130" s="42"/>
      <c r="B130" s="35" t="s">
        <v>5</v>
      </c>
      <c r="C130" s="35" t="s">
        <v>282</v>
      </c>
      <c r="D130" s="31"/>
      <c r="E130" s="31"/>
      <c r="F130" s="31"/>
      <c r="G130" s="35"/>
      <c r="H130" s="31"/>
      <c r="I130" s="31"/>
      <c r="J130" s="31"/>
      <c r="K130" s="35"/>
      <c r="L130" s="31"/>
    </row>
    <row r="131" spans="1:12" x14ac:dyDescent="0.35">
      <c r="A131" s="42"/>
      <c r="B131" s="35" t="s">
        <v>84</v>
      </c>
      <c r="C131" s="35" t="s">
        <v>84</v>
      </c>
      <c r="D131" s="31"/>
      <c r="E131" s="31"/>
      <c r="F131" s="31"/>
      <c r="G131" s="35"/>
      <c r="H131" s="31"/>
      <c r="I131" s="31"/>
      <c r="J131" s="31"/>
      <c r="K131" s="35"/>
      <c r="L131" s="31"/>
    </row>
    <row r="132" spans="1:12" x14ac:dyDescent="0.35">
      <c r="A132" s="42"/>
      <c r="B132" s="35" t="s">
        <v>85</v>
      </c>
      <c r="C132" s="35" t="s">
        <v>84</v>
      </c>
      <c r="D132" s="31"/>
      <c r="E132" s="31"/>
      <c r="F132" s="31"/>
      <c r="G132" s="35"/>
      <c r="H132" s="31"/>
      <c r="I132" s="31"/>
      <c r="J132" s="31"/>
      <c r="K132" s="35"/>
      <c r="L132" s="31"/>
    </row>
    <row r="133" spans="1:12" x14ac:dyDescent="0.35">
      <c r="A133" s="42"/>
      <c r="B133" s="35" t="s">
        <v>172</v>
      </c>
      <c r="C133" s="35" t="s">
        <v>263</v>
      </c>
      <c r="D133" s="31"/>
      <c r="E133" s="31"/>
      <c r="F133" s="31"/>
      <c r="G133" s="35"/>
      <c r="H133" s="31"/>
      <c r="I133" s="31"/>
      <c r="J133" s="31"/>
      <c r="K133" s="35"/>
      <c r="L133" s="31"/>
    </row>
    <row r="134" spans="1:12" x14ac:dyDescent="0.35">
      <c r="A134" s="43"/>
      <c r="B134" s="51" t="s">
        <v>173</v>
      </c>
      <c r="C134" s="51" t="s">
        <v>263</v>
      </c>
      <c r="D134" s="52"/>
      <c r="E134" s="52"/>
      <c r="F134" s="52"/>
      <c r="G134" s="51"/>
      <c r="H134" s="52"/>
      <c r="I134" s="52"/>
      <c r="J134" s="52"/>
      <c r="K134" s="51"/>
      <c r="L134" s="52"/>
    </row>
  </sheetData>
  <autoFilter ref="A2:L2" xr:uid="{E57288FD-5C39-44C3-AF77-D4B80CF901F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26E01-C21B-4870-B59B-6F063C107843}">
  <dimension ref="A1:P57"/>
  <sheetViews>
    <sheetView topLeftCell="A22" workbookViewId="0">
      <selection activeCell="A36" sqref="A36"/>
    </sheetView>
  </sheetViews>
  <sheetFormatPr defaultRowHeight="14.5" x14ac:dyDescent="0.35"/>
  <cols>
    <col min="1" max="1" width="22.1796875" style="2" customWidth="1"/>
    <col min="2" max="2" width="10.6328125" style="1" customWidth="1"/>
    <col min="3" max="3" width="10.81640625" style="1" customWidth="1"/>
    <col min="4" max="4" width="10.7265625" style="1" customWidth="1"/>
    <col min="5" max="5" width="13.90625" style="2" customWidth="1"/>
    <col min="6" max="6" width="11.6328125" style="2" customWidth="1"/>
    <col min="7" max="7" width="8.7265625" style="1"/>
    <col min="8" max="9" width="11.26953125" style="1" customWidth="1"/>
    <col min="10" max="10" width="8.7265625" style="1"/>
    <col min="11" max="13" width="8.7265625" style="2"/>
    <col min="14" max="14" width="11" style="2" customWidth="1"/>
    <col min="15" max="15" width="8.7265625" style="2"/>
    <col min="16" max="16" width="10.81640625" style="2" customWidth="1"/>
    <col min="17" max="16384" width="8.7265625" style="2"/>
  </cols>
  <sheetData>
    <row r="1" spans="1:16" ht="21" x14ac:dyDescent="0.35">
      <c r="A1" s="82" t="s">
        <v>139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</row>
    <row r="2" spans="1:16" s="3" customFormat="1" ht="57.5" customHeight="1" x14ac:dyDescent="0.35">
      <c r="A2" s="18" t="s">
        <v>87</v>
      </c>
      <c r="B2" s="18" t="s">
        <v>88</v>
      </c>
      <c r="C2" s="18" t="s">
        <v>147</v>
      </c>
      <c r="D2" s="18" t="s">
        <v>124</v>
      </c>
      <c r="E2" s="18" t="s">
        <v>129</v>
      </c>
      <c r="F2" s="19" t="s">
        <v>120</v>
      </c>
      <c r="G2" s="19" t="s">
        <v>126</v>
      </c>
      <c r="H2" s="19" t="s">
        <v>131</v>
      </c>
      <c r="I2" s="19" t="s">
        <v>133</v>
      </c>
      <c r="J2" s="19" t="s">
        <v>132</v>
      </c>
      <c r="K2" s="19" t="s">
        <v>136</v>
      </c>
      <c r="L2" s="19" t="s">
        <v>134</v>
      </c>
      <c r="M2" s="19" t="s">
        <v>135</v>
      </c>
      <c r="N2" s="19" t="s">
        <v>137</v>
      </c>
      <c r="O2" s="19" t="s">
        <v>138</v>
      </c>
      <c r="P2" s="20" t="s">
        <v>116</v>
      </c>
    </row>
    <row r="3" spans="1:16" ht="14.5" customHeight="1" x14ac:dyDescent="0.35">
      <c r="A3" s="21" t="s">
        <v>103</v>
      </c>
      <c r="B3" s="83" t="s">
        <v>203</v>
      </c>
      <c r="C3" s="83" t="s">
        <v>207</v>
      </c>
      <c r="D3" s="86">
        <v>1</v>
      </c>
      <c r="E3" s="72" t="s">
        <v>125</v>
      </c>
      <c r="F3" s="86" t="s">
        <v>121</v>
      </c>
      <c r="G3" s="72">
        <v>14</v>
      </c>
      <c r="H3" s="72">
        <v>6</v>
      </c>
      <c r="I3" s="72">
        <f>300*13*6</f>
        <v>23400</v>
      </c>
      <c r="J3" s="72">
        <v>1000</v>
      </c>
      <c r="K3" s="72">
        <v>0</v>
      </c>
      <c r="L3" s="72">
        <v>0</v>
      </c>
      <c r="M3" s="72">
        <f>SUM(I3:L6)</f>
        <v>24400</v>
      </c>
      <c r="N3" s="72">
        <f>300*6</f>
        <v>1800</v>
      </c>
      <c r="O3" s="75">
        <v>900</v>
      </c>
      <c r="P3" s="79" t="s">
        <v>218</v>
      </c>
    </row>
    <row r="4" spans="1:16" x14ac:dyDescent="0.35">
      <c r="A4" s="21" t="s">
        <v>114</v>
      </c>
      <c r="B4" s="84"/>
      <c r="C4" s="84"/>
      <c r="D4" s="87"/>
      <c r="E4" s="73"/>
      <c r="F4" s="87"/>
      <c r="G4" s="73"/>
      <c r="H4" s="73"/>
      <c r="I4" s="73"/>
      <c r="J4" s="73"/>
      <c r="K4" s="73"/>
      <c r="L4" s="73"/>
      <c r="M4" s="73"/>
      <c r="N4" s="73"/>
      <c r="O4" s="76"/>
      <c r="P4" s="80"/>
    </row>
    <row r="5" spans="1:16" x14ac:dyDescent="0.35">
      <c r="A5" s="21" t="s">
        <v>115</v>
      </c>
      <c r="B5" s="84"/>
      <c r="C5" s="84"/>
      <c r="D5" s="87"/>
      <c r="E5" s="73"/>
      <c r="F5" s="87"/>
      <c r="G5" s="73"/>
      <c r="H5" s="73"/>
      <c r="I5" s="73"/>
      <c r="J5" s="73"/>
      <c r="K5" s="73"/>
      <c r="L5" s="73"/>
      <c r="M5" s="73"/>
      <c r="N5" s="73"/>
      <c r="O5" s="76"/>
      <c r="P5" s="80">
        <v>600</v>
      </c>
    </row>
    <row r="6" spans="1:16" x14ac:dyDescent="0.35">
      <c r="A6" s="21" t="s">
        <v>90</v>
      </c>
      <c r="B6" s="85"/>
      <c r="C6" s="85"/>
      <c r="D6" s="88"/>
      <c r="E6" s="74"/>
      <c r="F6" s="88"/>
      <c r="G6" s="74"/>
      <c r="H6" s="74"/>
      <c r="I6" s="74"/>
      <c r="J6" s="74"/>
      <c r="K6" s="74"/>
      <c r="L6" s="74"/>
      <c r="M6" s="74"/>
      <c r="N6" s="74"/>
      <c r="O6" s="77"/>
      <c r="P6" s="81"/>
    </row>
    <row r="7" spans="1:16" ht="15" customHeight="1" thickBot="1" x14ac:dyDescent="0.4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</row>
    <row r="8" spans="1:16" ht="14.5" customHeight="1" x14ac:dyDescent="0.35">
      <c r="A8" s="7" t="s">
        <v>144</v>
      </c>
      <c r="B8" s="69" t="s">
        <v>204</v>
      </c>
      <c r="C8" s="69" t="s">
        <v>208</v>
      </c>
      <c r="D8" s="63">
        <v>2</v>
      </c>
      <c r="E8" s="71" t="s">
        <v>205</v>
      </c>
      <c r="F8" s="63" t="s">
        <v>196</v>
      </c>
      <c r="G8" s="63">
        <v>0</v>
      </c>
      <c r="H8" s="63">
        <v>4</v>
      </c>
      <c r="I8" s="63">
        <v>0</v>
      </c>
      <c r="J8" s="63">
        <v>0</v>
      </c>
      <c r="K8" s="63">
        <v>0</v>
      </c>
      <c r="L8" s="63">
        <v>0</v>
      </c>
      <c r="M8" s="63">
        <v>0</v>
      </c>
      <c r="N8" s="63">
        <v>0</v>
      </c>
      <c r="O8" s="63"/>
      <c r="P8" s="63"/>
    </row>
    <row r="9" spans="1:16" x14ac:dyDescent="0.35">
      <c r="A9" s="8" t="s">
        <v>25</v>
      </c>
      <c r="B9" s="70"/>
      <c r="C9" s="70"/>
      <c r="D9" s="63"/>
      <c r="E9" s="71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</row>
    <row r="10" spans="1:16" x14ac:dyDescent="0.35">
      <c r="A10" s="8" t="s">
        <v>21</v>
      </c>
      <c r="B10" s="70"/>
      <c r="C10" s="70" t="s">
        <v>110</v>
      </c>
      <c r="D10" s="63"/>
      <c r="E10" s="71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</row>
    <row r="11" spans="1:16" x14ac:dyDescent="0.35">
      <c r="A11" s="8" t="s">
        <v>46</v>
      </c>
      <c r="B11" s="70"/>
      <c r="C11" s="70"/>
      <c r="D11" s="63"/>
      <c r="E11" s="71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</row>
    <row r="12" spans="1:16" x14ac:dyDescent="0.35">
      <c r="A12" s="11"/>
      <c r="B12" s="4"/>
      <c r="C12" s="13"/>
      <c r="D12" s="13"/>
      <c r="E12" s="14"/>
      <c r="F12" s="15"/>
      <c r="K12" s="1"/>
      <c r="L12" s="1"/>
      <c r="M12" s="1"/>
      <c r="N12" s="1"/>
      <c r="O12" s="12"/>
    </row>
    <row r="13" spans="1:16" ht="14.5" customHeight="1" x14ac:dyDescent="0.35">
      <c r="A13" s="5" t="s">
        <v>140</v>
      </c>
      <c r="B13" s="65" t="s">
        <v>214</v>
      </c>
      <c r="C13" s="65" t="s">
        <v>209</v>
      </c>
      <c r="D13" s="64">
        <v>3</v>
      </c>
      <c r="E13" s="64" t="s">
        <v>128</v>
      </c>
      <c r="F13" s="64" t="s">
        <v>121</v>
      </c>
      <c r="G13" s="64">
        <v>32</v>
      </c>
      <c r="H13" s="64">
        <v>4</v>
      </c>
      <c r="I13" s="64">
        <v>32000</v>
      </c>
      <c r="J13" s="64">
        <v>1000</v>
      </c>
      <c r="K13" s="64">
        <v>1200</v>
      </c>
      <c r="L13" s="64">
        <v>2000</v>
      </c>
      <c r="M13" s="64">
        <f>I13+J13+K13+L13</f>
        <v>36200</v>
      </c>
      <c r="N13" s="64">
        <v>1000</v>
      </c>
      <c r="O13" s="64">
        <v>1000</v>
      </c>
      <c r="P13" s="65" t="s">
        <v>215</v>
      </c>
    </row>
    <row r="14" spans="1:16" x14ac:dyDescent="0.35">
      <c r="A14" s="5" t="s">
        <v>1</v>
      </c>
      <c r="B14" s="65"/>
      <c r="C14" s="65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5"/>
    </row>
    <row r="15" spans="1:16" x14ac:dyDescent="0.35">
      <c r="A15" s="5" t="s">
        <v>141</v>
      </c>
      <c r="B15" s="65"/>
      <c r="C15" s="65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5"/>
    </row>
    <row r="16" spans="1:16" x14ac:dyDescent="0.35">
      <c r="A16" s="5" t="s">
        <v>58</v>
      </c>
      <c r="B16" s="65"/>
      <c r="C16" s="65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5"/>
    </row>
    <row r="17" spans="1:16" x14ac:dyDescent="0.35">
      <c r="A17" s="5" t="s">
        <v>33</v>
      </c>
      <c r="B17" s="65"/>
      <c r="C17" s="65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5"/>
    </row>
    <row r="18" spans="1:16" x14ac:dyDescent="0.35">
      <c r="A18" s="5" t="s">
        <v>142</v>
      </c>
      <c r="B18" s="65"/>
      <c r="C18" s="65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5"/>
    </row>
    <row r="19" spans="1:16" x14ac:dyDescent="0.35">
      <c r="A19" s="5" t="s">
        <v>41</v>
      </c>
      <c r="B19" s="65"/>
      <c r="C19" s="65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5"/>
    </row>
    <row r="20" spans="1:16" x14ac:dyDescent="0.35">
      <c r="A20" s="5" t="s">
        <v>19</v>
      </c>
      <c r="B20" s="65"/>
      <c r="C20" s="65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5"/>
    </row>
    <row r="21" spans="1:16" x14ac:dyDescent="0.35">
      <c r="A21" s="5" t="s">
        <v>45</v>
      </c>
      <c r="B21" s="65"/>
      <c r="C21" s="65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5"/>
    </row>
    <row r="22" spans="1:16" x14ac:dyDescent="0.35">
      <c r="A22" s="5" t="s">
        <v>143</v>
      </c>
      <c r="B22" s="65"/>
      <c r="C22" s="65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5"/>
    </row>
    <row r="23" spans="1:16" x14ac:dyDescent="0.35">
      <c r="A23" s="6"/>
      <c r="B23" s="4"/>
      <c r="C23" s="4"/>
      <c r="D23" s="4"/>
    </row>
    <row r="24" spans="1:16" x14ac:dyDescent="0.35">
      <c r="A24" s="23" t="s">
        <v>92</v>
      </c>
      <c r="B24" s="59" t="s">
        <v>206</v>
      </c>
      <c r="C24" s="59" t="s">
        <v>208</v>
      </c>
      <c r="D24" s="68">
        <v>4</v>
      </c>
      <c r="E24" s="68" t="s">
        <v>127</v>
      </c>
      <c r="F24" s="68" t="s">
        <v>202</v>
      </c>
      <c r="G24" s="68">
        <v>32</v>
      </c>
      <c r="H24" s="68">
        <v>4</v>
      </c>
      <c r="I24" s="68">
        <f>250*32*4</f>
        <v>32000</v>
      </c>
      <c r="J24" s="68">
        <v>1000</v>
      </c>
      <c r="K24" s="68">
        <v>1200</v>
      </c>
      <c r="L24" s="68">
        <v>2000</v>
      </c>
      <c r="M24" s="68">
        <f>I24+J24+K24+L24</f>
        <v>36200</v>
      </c>
      <c r="N24" s="68">
        <v>1000</v>
      </c>
      <c r="O24" s="68">
        <v>1000</v>
      </c>
      <c r="P24" s="59" t="s">
        <v>216</v>
      </c>
    </row>
    <row r="25" spans="1:16" x14ac:dyDescent="0.35">
      <c r="A25" s="23" t="s">
        <v>93</v>
      </c>
      <c r="B25" s="59"/>
      <c r="C25" s="59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59"/>
    </row>
    <row r="26" spans="1:16" x14ac:dyDescent="0.35">
      <c r="A26" s="27" t="s">
        <v>26</v>
      </c>
      <c r="B26" s="59"/>
      <c r="C26" s="59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59"/>
    </row>
    <row r="27" spans="1:16" x14ac:dyDescent="0.35">
      <c r="A27" s="27" t="s">
        <v>54</v>
      </c>
      <c r="B27" s="59"/>
      <c r="C27" s="59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59"/>
    </row>
    <row r="28" spans="1:16" x14ac:dyDescent="0.35">
      <c r="A28" s="24" t="s">
        <v>122</v>
      </c>
      <c r="B28" s="59"/>
      <c r="C28" s="59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59"/>
    </row>
    <row r="29" spans="1:16" x14ac:dyDescent="0.35">
      <c r="A29" s="24" t="s">
        <v>37</v>
      </c>
      <c r="B29" s="59"/>
      <c r="C29" s="59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59"/>
    </row>
    <row r="30" spans="1:16" x14ac:dyDescent="0.35">
      <c r="A30" s="24" t="s">
        <v>123</v>
      </c>
      <c r="B30" s="59"/>
      <c r="C30" s="59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59"/>
    </row>
    <row r="31" spans="1:16" x14ac:dyDescent="0.35">
      <c r="A31" s="24" t="s">
        <v>94</v>
      </c>
      <c r="B31" s="59"/>
      <c r="C31" s="59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59"/>
    </row>
    <row r="32" spans="1:16" x14ac:dyDescent="0.35">
      <c r="A32" s="24" t="s">
        <v>95</v>
      </c>
      <c r="B32" s="59"/>
      <c r="C32" s="59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59"/>
    </row>
    <row r="33" spans="1:16" x14ac:dyDescent="0.35">
      <c r="A33" s="24" t="s">
        <v>108</v>
      </c>
      <c r="B33" s="59"/>
      <c r="C33" s="59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59"/>
    </row>
    <row r="34" spans="1:16" x14ac:dyDescent="0.35">
      <c r="A34" s="24" t="s">
        <v>109</v>
      </c>
      <c r="B34" s="59"/>
      <c r="C34" s="59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59"/>
    </row>
    <row r="35" spans="1:16" x14ac:dyDescent="0.35">
      <c r="A35" s="24" t="s">
        <v>105</v>
      </c>
      <c r="B35" s="59"/>
      <c r="C35" s="59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59"/>
    </row>
    <row r="36" spans="1:16" x14ac:dyDescent="0.35">
      <c r="A36" s="24" t="s">
        <v>106</v>
      </c>
      <c r="B36" s="59"/>
      <c r="C36" s="59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59"/>
    </row>
    <row r="37" spans="1:16" x14ac:dyDescent="0.35">
      <c r="A37" s="16"/>
      <c r="B37" s="4"/>
      <c r="C37" s="4"/>
      <c r="D37" s="4"/>
      <c r="E37" s="4"/>
      <c r="F37" s="17"/>
      <c r="G37" s="17"/>
      <c r="H37" s="17"/>
      <c r="I37" s="17"/>
      <c r="J37" s="17"/>
      <c r="K37" s="17"/>
      <c r="L37" s="17"/>
      <c r="M37" s="17"/>
      <c r="N37" s="17"/>
      <c r="O37" s="17"/>
    </row>
    <row r="38" spans="1:16" x14ac:dyDescent="0.35">
      <c r="A38" s="25" t="s">
        <v>111</v>
      </c>
      <c r="B38" s="60" t="s">
        <v>210</v>
      </c>
      <c r="C38" s="60" t="s">
        <v>209</v>
      </c>
      <c r="D38" s="66">
        <v>5</v>
      </c>
      <c r="E38" s="66" t="s">
        <v>127</v>
      </c>
      <c r="F38" s="66" t="s">
        <v>130</v>
      </c>
      <c r="G38" s="66">
        <v>32</v>
      </c>
      <c r="H38" s="66">
        <v>4</v>
      </c>
      <c r="I38" s="66">
        <f>250*32*4</f>
        <v>32000</v>
      </c>
      <c r="J38" s="66">
        <v>1000</v>
      </c>
      <c r="K38" s="66">
        <v>1200</v>
      </c>
      <c r="L38" s="66">
        <v>2000</v>
      </c>
      <c r="M38" s="66">
        <f>I38+J38+K38+L38</f>
        <v>36200</v>
      </c>
      <c r="N38" s="66">
        <v>1000</v>
      </c>
      <c r="O38" s="66">
        <v>550</v>
      </c>
      <c r="P38" s="60" t="s">
        <v>217</v>
      </c>
    </row>
    <row r="39" spans="1:16" x14ac:dyDescent="0.35">
      <c r="A39" s="25" t="s">
        <v>98</v>
      </c>
      <c r="B39" s="61"/>
      <c r="C39" s="61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1"/>
    </row>
    <row r="40" spans="1:16" x14ac:dyDescent="0.35">
      <c r="A40" s="25" t="s">
        <v>96</v>
      </c>
      <c r="B40" s="61"/>
      <c r="C40" s="61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1"/>
    </row>
    <row r="41" spans="1:16" x14ac:dyDescent="0.35">
      <c r="A41" s="25" t="s">
        <v>97</v>
      </c>
      <c r="B41" s="61"/>
      <c r="C41" s="61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1"/>
    </row>
    <row r="42" spans="1:16" x14ac:dyDescent="0.35">
      <c r="A42" s="25" t="s">
        <v>91</v>
      </c>
      <c r="B42" s="61"/>
      <c r="C42" s="61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1"/>
    </row>
    <row r="43" spans="1:16" x14ac:dyDescent="0.35">
      <c r="A43" s="25" t="s">
        <v>112</v>
      </c>
      <c r="B43" s="61"/>
      <c r="C43" s="61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1"/>
    </row>
    <row r="44" spans="1:16" x14ac:dyDescent="0.35">
      <c r="A44" s="25" t="s">
        <v>101</v>
      </c>
      <c r="B44" s="61"/>
      <c r="C44" s="61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1"/>
    </row>
    <row r="45" spans="1:16" x14ac:dyDescent="0.35">
      <c r="A45" s="26" t="s">
        <v>102</v>
      </c>
      <c r="B45" s="61"/>
      <c r="C45" s="61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1"/>
    </row>
    <row r="46" spans="1:16" x14ac:dyDescent="0.35">
      <c r="A46" s="26" t="s">
        <v>32</v>
      </c>
      <c r="B46" s="61"/>
      <c r="C46" s="61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1"/>
    </row>
    <row r="47" spans="1:16" x14ac:dyDescent="0.35">
      <c r="A47" s="25" t="s">
        <v>100</v>
      </c>
      <c r="B47" s="61"/>
      <c r="C47" s="61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1"/>
    </row>
    <row r="48" spans="1:16" x14ac:dyDescent="0.35">
      <c r="A48" s="26" t="s">
        <v>148</v>
      </c>
      <c r="B48" s="61"/>
      <c r="C48" s="61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1"/>
    </row>
    <row r="49" spans="1:16" ht="15" thickBot="1" x14ac:dyDescent="0.4">
      <c r="A49" s="28" t="s">
        <v>65</v>
      </c>
      <c r="B49" s="61"/>
      <c r="C49" s="61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1"/>
    </row>
    <row r="50" spans="1:16" x14ac:dyDescent="0.35">
      <c r="A50" s="25" t="s">
        <v>107</v>
      </c>
      <c r="B50" s="61"/>
      <c r="C50" s="61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1"/>
    </row>
    <row r="51" spans="1:16" x14ac:dyDescent="0.35">
      <c r="A51" s="25" t="s">
        <v>118</v>
      </c>
      <c r="B51" s="61"/>
      <c r="C51" s="61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1"/>
    </row>
    <row r="52" spans="1:16" x14ac:dyDescent="0.35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</row>
    <row r="53" spans="1:16" x14ac:dyDescent="0.35">
      <c r="A53" s="22" t="s">
        <v>99</v>
      </c>
      <c r="B53" s="56" t="s">
        <v>213</v>
      </c>
      <c r="C53" s="56" t="s">
        <v>209</v>
      </c>
      <c r="D53" s="53">
        <v>6</v>
      </c>
      <c r="E53" s="53" t="s">
        <v>125</v>
      </c>
      <c r="F53" s="53" t="s">
        <v>146</v>
      </c>
      <c r="G53" s="53">
        <v>14</v>
      </c>
      <c r="H53" s="53">
        <v>4</v>
      </c>
      <c r="I53" s="53"/>
      <c r="J53" s="53">
        <v>400</v>
      </c>
      <c r="K53" s="53"/>
      <c r="L53" s="53"/>
      <c r="M53" s="53"/>
      <c r="N53" s="53"/>
      <c r="O53" s="53">
        <v>700</v>
      </c>
      <c r="P53" s="56" t="s">
        <v>219</v>
      </c>
    </row>
    <row r="54" spans="1:16" x14ac:dyDescent="0.35">
      <c r="A54" s="22" t="s">
        <v>117</v>
      </c>
      <c r="B54" s="57"/>
      <c r="C54" s="57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7"/>
    </row>
    <row r="55" spans="1:16" x14ac:dyDescent="0.35">
      <c r="A55" s="22" t="s">
        <v>119</v>
      </c>
      <c r="B55" s="57"/>
      <c r="C55" s="57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7"/>
    </row>
    <row r="56" spans="1:16" x14ac:dyDescent="0.35">
      <c r="A56" s="22" t="s">
        <v>211</v>
      </c>
      <c r="B56" s="57"/>
      <c r="C56" s="57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7"/>
    </row>
    <row r="57" spans="1:16" x14ac:dyDescent="0.35">
      <c r="A57" s="22" t="s">
        <v>212</v>
      </c>
      <c r="B57" s="58"/>
      <c r="C57" s="58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8"/>
    </row>
  </sheetData>
  <mergeCells count="93">
    <mergeCell ref="A7:P7"/>
    <mergeCell ref="P3:P6"/>
    <mergeCell ref="A1:O1"/>
    <mergeCell ref="B3:B6"/>
    <mergeCell ref="C3:C6"/>
    <mergeCell ref="D3:D6"/>
    <mergeCell ref="E3:E6"/>
    <mergeCell ref="F3:F6"/>
    <mergeCell ref="G3:G6"/>
    <mergeCell ref="H3:H6"/>
    <mergeCell ref="I3:I6"/>
    <mergeCell ref="J3:J6"/>
    <mergeCell ref="K3:K6"/>
    <mergeCell ref="L3:L6"/>
    <mergeCell ref="M3:M6"/>
    <mergeCell ref="N3:N6"/>
    <mergeCell ref="O3:O6"/>
    <mergeCell ref="M8:M11"/>
    <mergeCell ref="N8:N11"/>
    <mergeCell ref="B8:B11"/>
    <mergeCell ref="D8:D11"/>
    <mergeCell ref="E8:E11"/>
    <mergeCell ref="F8:F11"/>
    <mergeCell ref="G8:G11"/>
    <mergeCell ref="H8:H11"/>
    <mergeCell ref="C8:C11"/>
    <mergeCell ref="N24:N36"/>
    <mergeCell ref="O24:O36"/>
    <mergeCell ref="B38:B51"/>
    <mergeCell ref="D38:D51"/>
    <mergeCell ref="E38:E51"/>
    <mergeCell ref="F38:F51"/>
    <mergeCell ref="G38:G51"/>
    <mergeCell ref="B24:B36"/>
    <mergeCell ref="C24:C36"/>
    <mergeCell ref="D24:D36"/>
    <mergeCell ref="E24:E36"/>
    <mergeCell ref="F24:F36"/>
    <mergeCell ref="G24:G36"/>
    <mergeCell ref="H24:H36"/>
    <mergeCell ref="I24:I36"/>
    <mergeCell ref="J24:J36"/>
    <mergeCell ref="L38:L51"/>
    <mergeCell ref="M38:M51"/>
    <mergeCell ref="K24:K36"/>
    <mergeCell ref="L24:L36"/>
    <mergeCell ref="M24:M36"/>
    <mergeCell ref="B13:B22"/>
    <mergeCell ref="C13:C22"/>
    <mergeCell ref="D13:D22"/>
    <mergeCell ref="E13:E22"/>
    <mergeCell ref="F13:F22"/>
    <mergeCell ref="P8:P11"/>
    <mergeCell ref="G13:G22"/>
    <mergeCell ref="I13:I22"/>
    <mergeCell ref="J13:J22"/>
    <mergeCell ref="K13:K22"/>
    <mergeCell ref="L13:L22"/>
    <mergeCell ref="M13:M22"/>
    <mergeCell ref="N13:N22"/>
    <mergeCell ref="O13:O22"/>
    <mergeCell ref="P13:P22"/>
    <mergeCell ref="H13:H22"/>
    <mergeCell ref="O8:O11"/>
    <mergeCell ref="I8:I11"/>
    <mergeCell ref="J8:J11"/>
    <mergeCell ref="K8:K11"/>
    <mergeCell ref="L8:L11"/>
    <mergeCell ref="P24:P36"/>
    <mergeCell ref="P38:P51"/>
    <mergeCell ref="C38:C51"/>
    <mergeCell ref="A52:P52"/>
    <mergeCell ref="B53:B57"/>
    <mergeCell ref="C53:C57"/>
    <mergeCell ref="D53:D57"/>
    <mergeCell ref="E53:E57"/>
    <mergeCell ref="F53:F57"/>
    <mergeCell ref="G53:G57"/>
    <mergeCell ref="N38:N51"/>
    <mergeCell ref="O38:O51"/>
    <mergeCell ref="H38:H51"/>
    <mergeCell ref="I38:I51"/>
    <mergeCell ref="J38:J51"/>
    <mergeCell ref="K38:K51"/>
    <mergeCell ref="N53:N57"/>
    <mergeCell ref="O53:O57"/>
    <mergeCell ref="P53:P57"/>
    <mergeCell ref="H53:H57"/>
    <mergeCell ref="I53:I57"/>
    <mergeCell ref="J53:J57"/>
    <mergeCell ref="K53:K57"/>
    <mergeCell ref="L53:L57"/>
    <mergeCell ref="M53:M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ROOM LIST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 Dadhich</dc:creator>
  <cp:lastModifiedBy>Brij Dadhich</cp:lastModifiedBy>
  <dcterms:created xsi:type="dcterms:W3CDTF">2015-06-05T18:17:20Z</dcterms:created>
  <dcterms:modified xsi:type="dcterms:W3CDTF">2026-05-02T07:56:36Z</dcterms:modified>
</cp:coreProperties>
</file>