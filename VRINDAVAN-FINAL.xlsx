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iha\OneDrive\Desktop\"/>
    </mc:Choice>
  </mc:AlternateContent>
  <xr:revisionPtr revIDLastSave="0" documentId="13_ncr:1_{B69033B6-7691-4061-9C2A-339585B49815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FINAL ROOM LIST" sheetId="18" state="hidden" r:id="rId1"/>
    <sheet name="FINAL" sheetId="17" state="hidden" r:id="rId2"/>
    <sheet name="1" sheetId="19" state="hidden" r:id="rId3"/>
    <sheet name="KAMLA PLACE" sheetId="20" r:id="rId4"/>
    <sheet name="MANSIGA" sheetId="21" r:id="rId5"/>
  </sheets>
  <definedNames>
    <definedName name="_xlnm._FilterDatabase" localSheetId="2" hidden="1">'1'!$A$126:$AH$247</definedName>
    <definedName name="_xlnm._FilterDatabase" localSheetId="1" hidden="1">FINAL!$A$2:$P$2</definedName>
    <definedName name="_xlnm._FilterDatabase" localSheetId="0" hidden="1">'FINAL ROOM LIST'!$B$2:$L$123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21" l="1"/>
  <c r="A6" i="20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4" i="20"/>
  <c r="M13" i="17"/>
  <c r="I38" i="17"/>
  <c r="M38" i="17" s="1"/>
  <c r="I24" i="17"/>
  <c r="M24" i="17" s="1"/>
  <c r="N3" i="17"/>
  <c r="I3" i="17"/>
  <c r="M3" i="17" s="1"/>
</calcChain>
</file>

<file path=xl/sharedStrings.xml><?xml version="1.0" encoding="utf-8"?>
<sst xmlns="http://schemas.openxmlformats.org/spreadsheetml/2006/main" count="2698" uniqueCount="291">
  <si>
    <t>BHABHIJI</t>
  </si>
  <si>
    <t>CHETNA</t>
  </si>
  <si>
    <t>SHOBHANA</t>
  </si>
  <si>
    <t>VIKASH</t>
  </si>
  <si>
    <t>ANURADHA</t>
  </si>
  <si>
    <t>KAKIJI</t>
  </si>
  <si>
    <t>TARA</t>
  </si>
  <si>
    <t>KAVITA</t>
  </si>
  <si>
    <t>GAJENDRAJI</t>
  </si>
  <si>
    <t>DINESHJI</t>
  </si>
  <si>
    <t>HEMA</t>
  </si>
  <si>
    <t>MAHESH</t>
  </si>
  <si>
    <t>BILLU JIJI</t>
  </si>
  <si>
    <t>SAROJ BHUWAJI</t>
  </si>
  <si>
    <t>MANISH</t>
  </si>
  <si>
    <t>SUNILJI</t>
  </si>
  <si>
    <t>BABU KAKOJI</t>
  </si>
  <si>
    <t>RAKESH</t>
  </si>
  <si>
    <t>RACHITA</t>
  </si>
  <si>
    <t>ROOPAM</t>
  </si>
  <si>
    <t>GUTTU</t>
  </si>
  <si>
    <t>NEHA</t>
  </si>
  <si>
    <t>BANWARI</t>
  </si>
  <si>
    <t>RINKU</t>
  </si>
  <si>
    <t>VISHNU</t>
  </si>
  <si>
    <t>VASU</t>
  </si>
  <si>
    <t>DADIJI</t>
  </si>
  <si>
    <t>SAYAR KAKOJI</t>
  </si>
  <si>
    <t>SANGEETA</t>
  </si>
  <si>
    <t>JUGAL KAKOJI</t>
  </si>
  <si>
    <t>PRAMILA BHUWAJI</t>
  </si>
  <si>
    <t>KRISHNA</t>
  </si>
  <si>
    <t>TRUPTI</t>
  </si>
  <si>
    <t>HIMANSHU</t>
  </si>
  <si>
    <t>UMA</t>
  </si>
  <si>
    <t>KESHAV</t>
  </si>
  <si>
    <t>ARUNDHATHI</t>
  </si>
  <si>
    <t>HARISH JI</t>
  </si>
  <si>
    <t>HOME</t>
  </si>
  <si>
    <t>MUMMY</t>
  </si>
  <si>
    <t>MANJU</t>
  </si>
  <si>
    <t>SUBHASHJI</t>
  </si>
  <si>
    <t>BIJU</t>
  </si>
  <si>
    <t>RUPAM</t>
  </si>
  <si>
    <t>JYOTI</t>
  </si>
  <si>
    <t>CHILDRENS</t>
  </si>
  <si>
    <t>RABU</t>
  </si>
  <si>
    <t>HEMA FRIEND</t>
  </si>
  <si>
    <t>CHANDA JIJI</t>
  </si>
  <si>
    <t>HARSHVARDHAN</t>
  </si>
  <si>
    <t>ANIL JI</t>
  </si>
  <si>
    <t>SRICHANDJI</t>
  </si>
  <si>
    <t>SHANTI BHUWAJI</t>
  </si>
  <si>
    <t>OMDUTT JI</t>
  </si>
  <si>
    <t>TRIPTI</t>
  </si>
  <si>
    <t>AKASH JI</t>
  </si>
  <si>
    <t>ARUN KAKOJI</t>
  </si>
  <si>
    <t>SANGEETA JI</t>
  </si>
  <si>
    <t>BABY JIJI</t>
  </si>
  <si>
    <t>SHARSHITI</t>
  </si>
  <si>
    <t>AJJU KAKOJI</t>
  </si>
  <si>
    <t>VIJAYA</t>
  </si>
  <si>
    <t>DIVYA</t>
  </si>
  <si>
    <t>SHARDA KAKIJI</t>
  </si>
  <si>
    <t>GHANSHYAM JI</t>
  </si>
  <si>
    <t>VIJAY KAKIJI</t>
  </si>
  <si>
    <t>NILIMA JIJI</t>
  </si>
  <si>
    <t>SHAYAMJI</t>
  </si>
  <si>
    <t>URMILA MASIJI</t>
  </si>
  <si>
    <t>SHIV BHAGWANJI</t>
  </si>
  <si>
    <t>RAJENDRA MAMAJI</t>
  </si>
  <si>
    <t>NARENDRA MAMAJI</t>
  </si>
  <si>
    <t>RAMA JI</t>
  </si>
  <si>
    <t>UMA FRIENDS</t>
  </si>
  <si>
    <t>RAMOTAR KAKOJI</t>
  </si>
  <si>
    <t>CHANDRA PRAKASJI</t>
  </si>
  <si>
    <t>NIWAJI</t>
  </si>
  <si>
    <t>PAPA- LOSAL</t>
  </si>
  <si>
    <t>MAHESH-WIFE</t>
  </si>
  <si>
    <t>SANTOSH BHUAJI</t>
  </si>
  <si>
    <t>PRAMILA</t>
  </si>
  <si>
    <t>PASANGER NAME</t>
  </si>
  <si>
    <t>DATE</t>
  </si>
  <si>
    <t>CBE</t>
  </si>
  <si>
    <t>SAVITRI DEVI</t>
  </si>
  <si>
    <t>HARSHAVARDHAN</t>
  </si>
  <si>
    <t>HARISH MISHRA</t>
  </si>
  <si>
    <t>SHANTI MISHRA</t>
  </si>
  <si>
    <t>NARENDRA DADHICH</t>
  </si>
  <si>
    <t>SHASHI DADHICH</t>
  </si>
  <si>
    <t>DINESH SHARMA</t>
  </si>
  <si>
    <t>SANGEETA SHARMA</t>
  </si>
  <si>
    <t>GAJENDRA SHARMA</t>
  </si>
  <si>
    <t>SHYAMSUNDER</t>
  </si>
  <si>
    <t>RADHA SHARMA</t>
  </si>
  <si>
    <t>TARA SHARMA</t>
  </si>
  <si>
    <t>HIMANSHU SHARMA</t>
  </si>
  <si>
    <t>NATHMAL SHARMA</t>
  </si>
  <si>
    <t>MANJU BAHAD</t>
  </si>
  <si>
    <t>GHANSHYAM DADHICH</t>
  </si>
  <si>
    <t>PRABHA DADHICH</t>
  </si>
  <si>
    <t>SHYAR PRAKASH</t>
  </si>
  <si>
    <t>SHIV BHAGWAN</t>
  </si>
  <si>
    <t>URMILA</t>
  </si>
  <si>
    <t>13.05.26</t>
  </si>
  <si>
    <t>CHANDA SHARMA</t>
  </si>
  <si>
    <t>RAVI SHARMA</t>
  </si>
  <si>
    <t>SAROJ</t>
  </si>
  <si>
    <t>VIMLA DEVI</t>
  </si>
  <si>
    <t>SRICHAND JOSHI</t>
  </si>
  <si>
    <t>REMARKS</t>
  </si>
  <si>
    <t>MADHURAM</t>
  </si>
  <si>
    <t>NILIMA DOLAWAT</t>
  </si>
  <si>
    <t>KUNJ BIHARI DOLAWAT</t>
  </si>
  <si>
    <t>POINT</t>
  </si>
  <si>
    <t>LADNUN</t>
  </si>
  <si>
    <t>MANISH SHARMA</t>
  </si>
  <si>
    <t>ANJANYAN</t>
  </si>
  <si>
    <t>ROOT NO.</t>
  </si>
  <si>
    <t>EARTIGA</t>
  </si>
  <si>
    <t>RATE</t>
  </si>
  <si>
    <t>URBANIA</t>
  </si>
  <si>
    <t>URBANIYA</t>
  </si>
  <si>
    <t>VEHICAL</t>
  </si>
  <si>
    <t>RABU HOME</t>
  </si>
  <si>
    <t>DAYS USE</t>
  </si>
  <si>
    <t>TAX/TOLL</t>
  </si>
  <si>
    <t>COST</t>
  </si>
  <si>
    <t>STATE TAX</t>
  </si>
  <si>
    <t>TOTAL</t>
  </si>
  <si>
    <t>NIGHT CHARGES</t>
  </si>
  <si>
    <t>KM CAN RUN</t>
  </si>
  <si>
    <t>ACTUL RUN</t>
  </si>
  <si>
    <t>VEHICLE ARRANGEMENT FOR VRINDAYAN FAMILY FUNCTION FROM 10TH MAY TO 13 TH MAY 2026</t>
  </si>
  <si>
    <t>KANCHAN</t>
  </si>
  <si>
    <t>SHOBHNA</t>
  </si>
  <si>
    <t>SUBHASH JI</t>
  </si>
  <si>
    <t>JYO SISTER</t>
  </si>
  <si>
    <t>MAYANK</t>
  </si>
  <si>
    <t>TRAIN</t>
  </si>
  <si>
    <t>SIKAR</t>
  </si>
  <si>
    <t>RETURN</t>
  </si>
  <si>
    <t xml:space="preserve">VIVEK </t>
  </si>
  <si>
    <t>RAGHAV</t>
  </si>
  <si>
    <t>GEETALI</t>
  </si>
  <si>
    <t>TAVASHI</t>
  </si>
  <si>
    <t>GARGI</t>
  </si>
  <si>
    <t>MARUTI</t>
  </si>
  <si>
    <t>LITTLE</t>
  </si>
  <si>
    <t>BITTI</t>
  </si>
  <si>
    <t>NIKKU</t>
  </si>
  <si>
    <t>VASHU</t>
  </si>
  <si>
    <t>HARSHIT</t>
  </si>
  <si>
    <t>ANJANYAR</t>
  </si>
  <si>
    <t>VIVEK</t>
  </si>
  <si>
    <t>BITTU</t>
  </si>
  <si>
    <t>GUNNU</t>
  </si>
  <si>
    <t>SHREE</t>
  </si>
  <si>
    <t>ARCHANA</t>
  </si>
  <si>
    <t>SWETA</t>
  </si>
  <si>
    <t>USHA</t>
  </si>
  <si>
    <t>VINITA</t>
  </si>
  <si>
    <t>REENA</t>
  </si>
  <si>
    <t>HANUMAN</t>
  </si>
  <si>
    <t>RADHE</t>
  </si>
  <si>
    <t>HARSHITA-SEKHAWAT</t>
  </si>
  <si>
    <t>HARSHITA-BROTHER</t>
  </si>
  <si>
    <t>JYOTI-SISTER</t>
  </si>
  <si>
    <t>HARSH</t>
  </si>
  <si>
    <t>NAME OF PERSON</t>
  </si>
  <si>
    <t>FAMILY</t>
  </si>
  <si>
    <t>MODE OF TRANSPORT</t>
  </si>
  <si>
    <t>CHECK-IN DATE</t>
  </si>
  <si>
    <t>CHECK-IN TIME</t>
  </si>
  <si>
    <t>LOCATION FROM</t>
  </si>
  <si>
    <t>VEHICLE NO</t>
  </si>
  <si>
    <t>HOTEL</t>
  </si>
  <si>
    <t>ROOM NO.</t>
  </si>
  <si>
    <t>CHECK-OUT DATE</t>
  </si>
  <si>
    <t>CHECK-OUT TIME</t>
  </si>
  <si>
    <t xml:space="preserve">DAMODAR </t>
  </si>
  <si>
    <t xml:space="preserve">NATHMAL </t>
  </si>
  <si>
    <t xml:space="preserve">VIMLA </t>
  </si>
  <si>
    <t>RADHA</t>
  </si>
  <si>
    <t>DIRECT</t>
  </si>
  <si>
    <t>SALASAR</t>
  </si>
  <si>
    <t>NO.1</t>
  </si>
  <si>
    <t>JAIPUR</t>
  </si>
  <si>
    <t>MMSS</t>
  </si>
  <si>
    <t>KUNJU BIHARI</t>
  </si>
  <si>
    <t>TIRUPUR</t>
  </si>
  <si>
    <t>NATHMAL</t>
  </si>
  <si>
    <t>DAMODAR</t>
  </si>
  <si>
    <t>GHANSHYAM</t>
  </si>
  <si>
    <t>09.05.2026   5.30</t>
  </si>
  <si>
    <t>10.05.2026  17.30</t>
  </si>
  <si>
    <t>PERSONAL</t>
  </si>
  <si>
    <t>10.05.2026     14.30</t>
  </si>
  <si>
    <t>14.05.2026   09.30</t>
  </si>
  <si>
    <t>13.05.2026   14.30</t>
  </si>
  <si>
    <t>13.05.2026  14.30</t>
  </si>
  <si>
    <t>10.05.2026  12.30</t>
  </si>
  <si>
    <t>DWARKA</t>
  </si>
  <si>
    <t>DWARKA-WIFE</t>
  </si>
  <si>
    <t>10.05.2026  10.00</t>
  </si>
  <si>
    <t xml:space="preserve">10.05.2026 10.00 </t>
  </si>
  <si>
    <t>10.05.2026-JPR-LDN-VRN  13.05.2026  RETURN VRN-JPR</t>
  </si>
  <si>
    <t>10.05.2026-JPR-VRN  13.05.2026  RETURN VRN-LDN-JPR</t>
  </si>
  <si>
    <t>LOCAL USE-450 KMS</t>
  </si>
  <si>
    <t>BAL USE FROM SIKAR ON 10/05/2026</t>
  </si>
  <si>
    <t>200 KMS LOCAL</t>
  </si>
  <si>
    <t>J P JI FUFAJI</t>
  </si>
  <si>
    <t>NO.3</t>
  </si>
  <si>
    <t>FLIGHT</t>
  </si>
  <si>
    <t>BGLR</t>
  </si>
  <si>
    <t>KUNJ</t>
  </si>
  <si>
    <t>KOLKATA</t>
  </si>
  <si>
    <t>NO.5</t>
  </si>
  <si>
    <t>PRIVATE</t>
  </si>
  <si>
    <t>NO.2</t>
  </si>
  <si>
    <t>VAPI</t>
  </si>
  <si>
    <t>KP</t>
  </si>
  <si>
    <t>SAVITRI</t>
  </si>
  <si>
    <t>SAVITRI BHUWAJI</t>
  </si>
  <si>
    <t>SHANTI</t>
  </si>
  <si>
    <t>HYD</t>
  </si>
  <si>
    <t>SIMPLE</t>
  </si>
  <si>
    <t>ADITYA</t>
  </si>
  <si>
    <t>DELHI</t>
  </si>
  <si>
    <t>NO.4</t>
  </si>
  <si>
    <t>ARUN</t>
  </si>
  <si>
    <t>SHARSHTI</t>
  </si>
  <si>
    <t>AJJU</t>
  </si>
  <si>
    <t>RENTAL CAR</t>
  </si>
  <si>
    <t>RANCHI</t>
  </si>
  <si>
    <t>JUGAL</t>
  </si>
  <si>
    <t>BABU LAL</t>
  </si>
  <si>
    <t>MUMBAI</t>
  </si>
  <si>
    <t>SAYAR</t>
  </si>
  <si>
    <t>SHYAM JI</t>
  </si>
  <si>
    <t>NO.6</t>
  </si>
  <si>
    <t>SHIV JI</t>
  </si>
  <si>
    <t>RAJU</t>
  </si>
  <si>
    <t>SUSHILA MAMIJI</t>
  </si>
  <si>
    <t>SHASHI MAMIJI</t>
  </si>
  <si>
    <t>NARENDRA</t>
  </si>
  <si>
    <t>SUNIL JI</t>
  </si>
  <si>
    <t>RAMOTAR</t>
  </si>
  <si>
    <t>RAIPUR</t>
  </si>
  <si>
    <t>PANDITJI</t>
  </si>
  <si>
    <t>SRI RAMJI</t>
  </si>
  <si>
    <t>LOSAL</t>
  </si>
  <si>
    <t>CAR-LOSAL</t>
  </si>
  <si>
    <t>HARSHITA</t>
  </si>
  <si>
    <t>KUNJ-DOLAWAT</t>
  </si>
  <si>
    <t>SL</t>
  </si>
  <si>
    <t>CP-CAR</t>
  </si>
  <si>
    <t>JK-CAR</t>
  </si>
  <si>
    <t>JP-CAR</t>
  </si>
  <si>
    <t>AS-CAR</t>
  </si>
  <si>
    <t>SP-CAR</t>
  </si>
  <si>
    <t>SS-CAR</t>
  </si>
  <si>
    <t>AGRA</t>
  </si>
  <si>
    <t>MATHURA</t>
  </si>
  <si>
    <t>TUNDLA</t>
  </si>
  <si>
    <t>DIVYANSHJI</t>
  </si>
  <si>
    <t>SINGLE</t>
  </si>
  <si>
    <t>NARESHJI-SHRISTHI</t>
  </si>
  <si>
    <t>USHA JI-MUMBAI</t>
  </si>
  <si>
    <t>OMEXE</t>
  </si>
  <si>
    <t>APT</t>
  </si>
  <si>
    <t>HIMANSHU-SANGEETA</t>
  </si>
  <si>
    <t>SHAYAMJI-WIFE</t>
  </si>
  <si>
    <t>CAR</t>
  </si>
  <si>
    <t>CHANDA</t>
  </si>
  <si>
    <t>CHETNA + 1</t>
  </si>
  <si>
    <t>KIDS+1</t>
  </si>
  <si>
    <t>RAGHAV +1</t>
  </si>
  <si>
    <t>TAVASHI + 1</t>
  </si>
  <si>
    <t>HIMANSHU + 1</t>
  </si>
  <si>
    <t>BITTI + 1</t>
  </si>
  <si>
    <t>SONU</t>
  </si>
  <si>
    <t>KIDS</t>
  </si>
  <si>
    <t>98260 66741</t>
  </si>
  <si>
    <t>DAMODAR KAKOJI</t>
  </si>
  <si>
    <t>PAPA</t>
  </si>
  <si>
    <t>AUNTY</t>
  </si>
  <si>
    <t>12/052026</t>
  </si>
  <si>
    <t>PERSON</t>
  </si>
  <si>
    <t>MOBILE NO.</t>
  </si>
  <si>
    <t xml:space="preserve">URMILA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</si>
</sst>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4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14" fontId="0" fillId="0" borderId="6" xfId="0" applyNumberFormat="1" applyBorder="1"/>
    <xf numFmtId="2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9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vertical="center" wrapText="1"/>
    </xf>
    <xf numFmtId="0" fontId="0" fillId="9" borderId="6" xfId="0" applyFill="1" applyBorder="1" applyAlignment="1">
      <alignment horizontal="center"/>
    </xf>
    <xf numFmtId="0" fontId="0" fillId="9" borderId="6" xfId="0" applyFill="1" applyBorder="1" applyAlignment="1">
      <alignment horizontal="center" vertical="center" wrapText="1"/>
    </xf>
    <xf numFmtId="14" fontId="0" fillId="9" borderId="6" xfId="0" applyNumberFormat="1" applyFill="1" applyBorder="1"/>
    <xf numFmtId="2" fontId="0" fillId="9" borderId="6" xfId="0" applyNumberForma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14" fontId="0" fillId="0" borderId="6" xfId="0" applyNumberFormat="1" applyBorder="1" applyAlignment="1">
      <alignment vertical="center"/>
    </xf>
    <xf numFmtId="2" fontId="0" fillId="0" borderId="6" xfId="0" applyNumberFormat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vertical="center"/>
    </xf>
    <xf numFmtId="0" fontId="0" fillId="9" borderId="6" xfId="0" applyFill="1" applyBorder="1" applyAlignment="1">
      <alignment horizontal="center" vertical="center"/>
    </xf>
    <xf numFmtId="14" fontId="0" fillId="9" borderId="6" xfId="0" applyNumberFormat="1" applyFill="1" applyBorder="1" applyAlignment="1">
      <alignment vertical="center"/>
    </xf>
    <xf numFmtId="2" fontId="0" fillId="9" borderId="6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14" fontId="0" fillId="9" borderId="1" xfId="0" applyNumberFormat="1" applyFill="1" applyBorder="1" applyAlignment="1">
      <alignment vertical="center"/>
    </xf>
    <xf numFmtId="2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vertical="center"/>
    </xf>
    <xf numFmtId="0" fontId="0" fillId="1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FFCC"/>
      <color rgb="FFFF99CC"/>
      <color rgb="FF99CCFF"/>
      <color rgb="FF66FF99"/>
      <color rgb="FF00FFFF"/>
      <color rgb="FF9999FF"/>
      <color rgb="FF0099FF"/>
      <color rgb="FF66FF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A98C-AF8B-4EE1-874E-1E152F67F29A}">
  <dimension ref="A2:AE123"/>
  <sheetViews>
    <sheetView topLeftCell="A52" zoomScaleNormal="100" workbookViewId="0">
      <selection activeCell="I59" sqref="I59"/>
    </sheetView>
  </sheetViews>
  <sheetFormatPr defaultColWidth="8.77734375" defaultRowHeight="14.4" x14ac:dyDescent="0.3"/>
  <cols>
    <col min="2" max="2" width="19.5546875" customWidth="1"/>
    <col min="3" max="3" width="12.5546875" bestFit="1" customWidth="1"/>
    <col min="4" max="4" width="10.77734375" style="40" customWidth="1"/>
    <col min="5" max="5" width="10" style="40" customWidth="1"/>
    <col min="6" max="6" width="10.44140625" style="40" customWidth="1"/>
    <col min="7" max="7" width="10.44140625" bestFit="1" customWidth="1"/>
    <col min="8" max="8" width="8.77734375" style="40"/>
    <col min="9" max="9" width="9.88671875" style="40" customWidth="1"/>
    <col min="10" max="10" width="8.77734375" style="40"/>
    <col min="11" max="11" width="10.44140625" bestFit="1" customWidth="1"/>
    <col min="12" max="12" width="8.77734375" style="40"/>
  </cols>
  <sheetData>
    <row r="2" spans="1:31" ht="41.55" customHeight="1" x14ac:dyDescent="0.3">
      <c r="A2" s="26" t="s">
        <v>255</v>
      </c>
      <c r="B2" s="41" t="s">
        <v>169</v>
      </c>
      <c r="C2" s="25" t="s">
        <v>170</v>
      </c>
      <c r="D2" s="26" t="s">
        <v>171</v>
      </c>
      <c r="E2" s="26" t="s">
        <v>175</v>
      </c>
      <c r="F2" s="26" t="s">
        <v>174</v>
      </c>
      <c r="G2" s="26" t="s">
        <v>172</v>
      </c>
      <c r="H2" s="26" t="s">
        <v>173</v>
      </c>
      <c r="I2" s="26" t="s">
        <v>176</v>
      </c>
      <c r="J2" s="26" t="s">
        <v>177</v>
      </c>
      <c r="K2" s="26" t="s">
        <v>178</v>
      </c>
      <c r="L2" s="26" t="s">
        <v>179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spans="1:31" ht="16.5" customHeight="1" x14ac:dyDescent="0.3">
      <c r="A3" s="42">
        <v>1</v>
      </c>
      <c r="B3" s="28" t="s">
        <v>181</v>
      </c>
      <c r="C3" s="28" t="s">
        <v>191</v>
      </c>
      <c r="D3" s="29" t="s">
        <v>119</v>
      </c>
      <c r="E3" s="29" t="s">
        <v>186</v>
      </c>
      <c r="F3" s="29" t="s">
        <v>115</v>
      </c>
      <c r="G3" s="30">
        <v>46151</v>
      </c>
      <c r="H3" s="31">
        <v>14.3</v>
      </c>
      <c r="I3" s="29" t="s">
        <v>269</v>
      </c>
      <c r="J3" s="29" t="s">
        <v>38</v>
      </c>
      <c r="K3" s="30">
        <v>46156</v>
      </c>
      <c r="L3" s="31">
        <v>9.3000000000000007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 spans="1:31" x14ac:dyDescent="0.3">
      <c r="A4" s="42">
        <v>2</v>
      </c>
      <c r="B4" s="32" t="s">
        <v>182</v>
      </c>
      <c r="C4" s="33" t="s">
        <v>191</v>
      </c>
      <c r="D4" s="34" t="s">
        <v>119</v>
      </c>
      <c r="E4" s="34" t="s">
        <v>186</v>
      </c>
      <c r="F4" s="34" t="s">
        <v>115</v>
      </c>
      <c r="G4" s="35">
        <v>46151</v>
      </c>
      <c r="H4" s="36">
        <v>14.3</v>
      </c>
      <c r="I4" s="34" t="s">
        <v>269</v>
      </c>
      <c r="J4" s="34" t="s">
        <v>38</v>
      </c>
      <c r="K4" s="35">
        <v>46156</v>
      </c>
      <c r="L4" s="36">
        <v>9.3000000000000007</v>
      </c>
    </row>
    <row r="5" spans="1:31" x14ac:dyDescent="0.3">
      <c r="A5" s="42">
        <v>3</v>
      </c>
      <c r="B5" s="32" t="s">
        <v>180</v>
      </c>
      <c r="C5" s="33" t="s">
        <v>192</v>
      </c>
      <c r="D5" s="34" t="s">
        <v>184</v>
      </c>
      <c r="E5" s="34" t="s">
        <v>184</v>
      </c>
      <c r="F5" s="34" t="s">
        <v>185</v>
      </c>
      <c r="G5" s="37">
        <v>46153</v>
      </c>
      <c r="H5" s="38">
        <v>17.3</v>
      </c>
      <c r="I5" s="34" t="s">
        <v>269</v>
      </c>
      <c r="J5" s="34" t="s">
        <v>38</v>
      </c>
      <c r="K5" s="37">
        <v>46155</v>
      </c>
      <c r="L5" s="38">
        <v>14.3</v>
      </c>
    </row>
    <row r="6" spans="1:31" x14ac:dyDescent="0.3">
      <c r="A6" s="42">
        <v>4</v>
      </c>
      <c r="B6" s="32" t="s">
        <v>183</v>
      </c>
      <c r="C6" s="33" t="s">
        <v>192</v>
      </c>
      <c r="D6" s="34" t="s">
        <v>122</v>
      </c>
      <c r="E6" s="34" t="s">
        <v>217</v>
      </c>
      <c r="F6" s="34" t="s">
        <v>187</v>
      </c>
      <c r="G6" s="37">
        <v>46152</v>
      </c>
      <c r="H6" s="38">
        <v>19.3</v>
      </c>
      <c r="I6" s="34" t="s">
        <v>269</v>
      </c>
      <c r="J6" s="34" t="s">
        <v>38</v>
      </c>
      <c r="K6" s="37">
        <v>46155</v>
      </c>
      <c r="L6" s="38">
        <v>14.3</v>
      </c>
    </row>
    <row r="7" spans="1:31" x14ac:dyDescent="0.3">
      <c r="A7" s="42">
        <v>5</v>
      </c>
      <c r="B7" s="32" t="s">
        <v>134</v>
      </c>
      <c r="C7" s="33" t="s">
        <v>215</v>
      </c>
      <c r="D7" s="39" t="s">
        <v>122</v>
      </c>
      <c r="E7" s="34" t="s">
        <v>212</v>
      </c>
      <c r="F7" s="34" t="s">
        <v>115</v>
      </c>
      <c r="G7" s="37">
        <v>46152</v>
      </c>
      <c r="H7" s="38">
        <v>19.3</v>
      </c>
      <c r="I7" s="34" t="s">
        <v>188</v>
      </c>
      <c r="J7" s="39">
        <v>104</v>
      </c>
      <c r="K7" s="37">
        <v>46155</v>
      </c>
      <c r="L7" s="38">
        <v>14.3</v>
      </c>
    </row>
    <row r="8" spans="1:31" x14ac:dyDescent="0.3">
      <c r="A8" s="42">
        <v>6</v>
      </c>
      <c r="B8" s="32" t="s">
        <v>189</v>
      </c>
      <c r="C8" s="33" t="s">
        <v>215</v>
      </c>
      <c r="D8" s="34" t="s">
        <v>139</v>
      </c>
      <c r="E8" s="34" t="s">
        <v>263</v>
      </c>
      <c r="F8" s="34" t="s">
        <v>190</v>
      </c>
      <c r="G8" s="37">
        <v>46152</v>
      </c>
      <c r="H8" s="38">
        <v>11.3</v>
      </c>
      <c r="I8" s="34" t="s">
        <v>188</v>
      </c>
      <c r="J8" s="39">
        <v>104</v>
      </c>
      <c r="K8" s="37">
        <v>46155</v>
      </c>
      <c r="L8" s="38">
        <v>14.3</v>
      </c>
    </row>
    <row r="9" spans="1:31" x14ac:dyDescent="0.3">
      <c r="A9" s="42">
        <v>7</v>
      </c>
      <c r="B9" s="32" t="s">
        <v>1</v>
      </c>
      <c r="C9" s="33" t="s">
        <v>215</v>
      </c>
      <c r="D9" s="39" t="s">
        <v>122</v>
      </c>
      <c r="E9" s="34" t="s">
        <v>212</v>
      </c>
      <c r="F9" s="34" t="s">
        <v>115</v>
      </c>
      <c r="G9" s="37">
        <v>46152</v>
      </c>
      <c r="H9" s="38">
        <v>19.3</v>
      </c>
      <c r="I9" s="34" t="s">
        <v>188</v>
      </c>
      <c r="J9" s="39">
        <v>104</v>
      </c>
      <c r="K9" s="37">
        <v>46155</v>
      </c>
      <c r="L9" s="38">
        <v>14.3</v>
      </c>
    </row>
    <row r="10" spans="1:31" x14ac:dyDescent="0.3">
      <c r="A10" s="42">
        <v>8</v>
      </c>
      <c r="B10" s="32" t="s">
        <v>2</v>
      </c>
      <c r="C10" s="33" t="s">
        <v>215</v>
      </c>
      <c r="D10" s="39" t="s">
        <v>122</v>
      </c>
      <c r="E10" s="34" t="s">
        <v>212</v>
      </c>
      <c r="F10" s="34" t="s">
        <v>115</v>
      </c>
      <c r="G10" s="37">
        <v>46152</v>
      </c>
      <c r="H10" s="38">
        <v>19.3</v>
      </c>
      <c r="I10" s="34" t="s">
        <v>188</v>
      </c>
      <c r="J10" s="39">
        <v>104</v>
      </c>
      <c r="K10" s="37">
        <v>46155</v>
      </c>
      <c r="L10" s="38">
        <v>14.3</v>
      </c>
    </row>
    <row r="11" spans="1:31" x14ac:dyDescent="0.3">
      <c r="A11" s="42">
        <v>9</v>
      </c>
      <c r="B11" s="32" t="s">
        <v>98</v>
      </c>
      <c r="C11" s="33" t="s">
        <v>41</v>
      </c>
      <c r="D11" s="39" t="s">
        <v>122</v>
      </c>
      <c r="E11" s="34" t="s">
        <v>212</v>
      </c>
      <c r="F11" s="34" t="s">
        <v>115</v>
      </c>
      <c r="G11" s="37">
        <v>46152</v>
      </c>
      <c r="H11" s="38">
        <v>19.3</v>
      </c>
      <c r="I11" s="34" t="s">
        <v>188</v>
      </c>
      <c r="J11" s="39">
        <v>105</v>
      </c>
      <c r="K11" s="37">
        <v>46155</v>
      </c>
      <c r="L11" s="38">
        <v>14.3</v>
      </c>
    </row>
    <row r="12" spans="1:31" x14ac:dyDescent="0.3">
      <c r="A12" s="42">
        <v>10</v>
      </c>
      <c r="B12" s="32" t="s">
        <v>41</v>
      </c>
      <c r="C12" s="33" t="s">
        <v>41</v>
      </c>
      <c r="D12" s="39" t="s">
        <v>122</v>
      </c>
      <c r="E12" s="34" t="s">
        <v>212</v>
      </c>
      <c r="F12" s="34" t="s">
        <v>115</v>
      </c>
      <c r="G12" s="37">
        <v>46152</v>
      </c>
      <c r="H12" s="38">
        <v>19.3</v>
      </c>
      <c r="I12" s="34" t="s">
        <v>188</v>
      </c>
      <c r="J12" s="39">
        <v>105</v>
      </c>
      <c r="K12" s="37">
        <v>46155</v>
      </c>
      <c r="L12" s="38">
        <v>14.3</v>
      </c>
    </row>
    <row r="13" spans="1:31" x14ac:dyDescent="0.3">
      <c r="A13" s="42">
        <v>11</v>
      </c>
      <c r="B13" s="32" t="s">
        <v>42</v>
      </c>
      <c r="C13" s="33" t="s">
        <v>42</v>
      </c>
      <c r="D13" s="39" t="s">
        <v>213</v>
      </c>
      <c r="E13" s="34" t="s">
        <v>262</v>
      </c>
      <c r="F13" s="34" t="s">
        <v>83</v>
      </c>
      <c r="G13" s="37">
        <v>46149</v>
      </c>
      <c r="H13" s="38">
        <v>17.3</v>
      </c>
      <c r="I13" s="34" t="s">
        <v>188</v>
      </c>
      <c r="J13" s="39">
        <v>106</v>
      </c>
      <c r="K13" s="37">
        <v>46155</v>
      </c>
      <c r="L13" s="38">
        <v>14.3</v>
      </c>
    </row>
    <row r="14" spans="1:31" x14ac:dyDescent="0.3">
      <c r="A14" s="42">
        <v>12</v>
      </c>
      <c r="B14" s="32" t="s">
        <v>34</v>
      </c>
      <c r="C14" s="33" t="s">
        <v>42</v>
      </c>
      <c r="D14" s="39" t="s">
        <v>213</v>
      </c>
      <c r="E14" s="34" t="s">
        <v>262</v>
      </c>
      <c r="F14" s="34" t="s">
        <v>83</v>
      </c>
      <c r="G14" s="37">
        <v>46149</v>
      </c>
      <c r="H14" s="38">
        <v>17.3</v>
      </c>
      <c r="I14" s="34" t="s">
        <v>188</v>
      </c>
      <c r="J14" s="39">
        <v>106</v>
      </c>
      <c r="K14" s="37">
        <v>46155</v>
      </c>
      <c r="L14" s="38">
        <v>14.3</v>
      </c>
    </row>
    <row r="15" spans="1:31" x14ac:dyDescent="0.3">
      <c r="A15" s="42">
        <v>13</v>
      </c>
      <c r="B15" s="32" t="s">
        <v>35</v>
      </c>
      <c r="C15" s="33" t="s">
        <v>42</v>
      </c>
      <c r="D15" s="39" t="s">
        <v>213</v>
      </c>
      <c r="E15" s="34" t="s">
        <v>262</v>
      </c>
      <c r="F15" s="34" t="s">
        <v>214</v>
      </c>
      <c r="G15" s="37">
        <v>46152</v>
      </c>
      <c r="H15" s="38">
        <v>17.3</v>
      </c>
      <c r="I15" s="34" t="s">
        <v>188</v>
      </c>
      <c r="J15" s="39">
        <v>106</v>
      </c>
      <c r="K15" s="37">
        <v>46155</v>
      </c>
      <c r="L15" s="38">
        <v>14.3</v>
      </c>
    </row>
    <row r="16" spans="1:31" x14ac:dyDescent="0.3">
      <c r="A16" s="42">
        <v>14</v>
      </c>
      <c r="B16" s="32" t="s">
        <v>43</v>
      </c>
      <c r="C16" s="33" t="s">
        <v>19</v>
      </c>
      <c r="D16" s="39" t="s">
        <v>122</v>
      </c>
      <c r="E16" s="34" t="s">
        <v>212</v>
      </c>
      <c r="F16" s="34" t="s">
        <v>115</v>
      </c>
      <c r="G16" s="37">
        <v>46152</v>
      </c>
      <c r="H16" s="38">
        <v>19.3</v>
      </c>
      <c r="I16" s="34" t="s">
        <v>188</v>
      </c>
      <c r="J16" s="39">
        <v>107</v>
      </c>
      <c r="K16" s="37">
        <v>46155</v>
      </c>
      <c r="L16" s="38">
        <v>14.3</v>
      </c>
    </row>
    <row r="17" spans="1:12" x14ac:dyDescent="0.3">
      <c r="A17" s="42">
        <v>15</v>
      </c>
      <c r="B17" s="32" t="s">
        <v>44</v>
      </c>
      <c r="C17" s="33" t="s">
        <v>19</v>
      </c>
      <c r="D17" s="39" t="s">
        <v>122</v>
      </c>
      <c r="E17" s="34" t="s">
        <v>212</v>
      </c>
      <c r="F17" s="34" t="s">
        <v>115</v>
      </c>
      <c r="G17" s="37">
        <v>46152</v>
      </c>
      <c r="H17" s="38">
        <v>19.3</v>
      </c>
      <c r="I17" s="34" t="s">
        <v>188</v>
      </c>
      <c r="J17" s="39">
        <v>107</v>
      </c>
      <c r="K17" s="37">
        <v>46155</v>
      </c>
      <c r="L17" s="38">
        <v>14.3</v>
      </c>
    </row>
    <row r="18" spans="1:12" x14ac:dyDescent="0.3">
      <c r="A18" s="42">
        <v>16</v>
      </c>
      <c r="B18" s="32" t="s">
        <v>167</v>
      </c>
      <c r="C18" s="33" t="s">
        <v>266</v>
      </c>
      <c r="D18" s="39" t="s">
        <v>122</v>
      </c>
      <c r="E18" s="34" t="s">
        <v>212</v>
      </c>
      <c r="F18" s="34" t="s">
        <v>115</v>
      </c>
      <c r="G18" s="37">
        <v>46152</v>
      </c>
      <c r="H18" s="38">
        <v>19.3</v>
      </c>
      <c r="I18" s="34" t="s">
        <v>188</v>
      </c>
      <c r="J18" s="39">
        <v>202</v>
      </c>
      <c r="K18" s="37">
        <v>46155</v>
      </c>
      <c r="L18" s="38">
        <v>14.3</v>
      </c>
    </row>
    <row r="19" spans="1:12" x14ac:dyDescent="0.3">
      <c r="A19" s="42">
        <v>17</v>
      </c>
      <c r="B19" s="32" t="s">
        <v>3</v>
      </c>
      <c r="C19" s="33" t="s">
        <v>3</v>
      </c>
      <c r="D19" s="39" t="s">
        <v>139</v>
      </c>
      <c r="E19" s="34" t="s">
        <v>263</v>
      </c>
      <c r="F19" s="34" t="s">
        <v>190</v>
      </c>
      <c r="G19" s="37">
        <v>46152</v>
      </c>
      <c r="H19" s="38">
        <v>11.3</v>
      </c>
      <c r="I19" s="34" t="s">
        <v>188</v>
      </c>
      <c r="J19" s="39">
        <v>108</v>
      </c>
      <c r="K19" s="37">
        <v>46155</v>
      </c>
      <c r="L19" s="38">
        <v>14.3</v>
      </c>
    </row>
    <row r="20" spans="1:12" x14ac:dyDescent="0.3">
      <c r="A20" s="42">
        <v>18</v>
      </c>
      <c r="B20" s="32" t="s">
        <v>4</v>
      </c>
      <c r="C20" s="33" t="s">
        <v>3</v>
      </c>
      <c r="D20" s="39" t="s">
        <v>139</v>
      </c>
      <c r="E20" s="34" t="s">
        <v>263</v>
      </c>
      <c r="F20" s="34" t="s">
        <v>190</v>
      </c>
      <c r="G20" s="37">
        <v>46152</v>
      </c>
      <c r="H20" s="38">
        <v>11.3</v>
      </c>
      <c r="I20" s="34" t="s">
        <v>188</v>
      </c>
      <c r="J20" s="39">
        <v>108</v>
      </c>
      <c r="K20" s="37">
        <v>46155</v>
      </c>
      <c r="L20" s="38">
        <v>14.3</v>
      </c>
    </row>
    <row r="21" spans="1:12" x14ac:dyDescent="0.3">
      <c r="A21" s="42">
        <v>19</v>
      </c>
      <c r="B21" s="32" t="s">
        <v>143</v>
      </c>
      <c r="C21" s="33" t="s">
        <v>3</v>
      </c>
      <c r="D21" s="39" t="s">
        <v>139</v>
      </c>
      <c r="E21" s="34" t="s">
        <v>263</v>
      </c>
      <c r="F21" s="34" t="s">
        <v>190</v>
      </c>
      <c r="G21" s="37">
        <v>46152</v>
      </c>
      <c r="H21" s="38">
        <v>11.3</v>
      </c>
      <c r="I21" s="34" t="s">
        <v>188</v>
      </c>
      <c r="J21" s="39">
        <v>108</v>
      </c>
      <c r="K21" s="37">
        <v>46155</v>
      </c>
      <c r="L21" s="38">
        <v>14.3</v>
      </c>
    </row>
    <row r="22" spans="1:12" x14ac:dyDescent="0.3">
      <c r="A22" s="42">
        <v>20</v>
      </c>
      <c r="B22" s="32" t="s">
        <v>144</v>
      </c>
      <c r="C22" s="33" t="s">
        <v>3</v>
      </c>
      <c r="D22" s="39" t="s">
        <v>139</v>
      </c>
      <c r="E22" s="34" t="s">
        <v>263</v>
      </c>
      <c r="F22" s="34" t="s">
        <v>190</v>
      </c>
      <c r="G22" s="37">
        <v>46152</v>
      </c>
      <c r="H22" s="38">
        <v>11.3</v>
      </c>
      <c r="I22" s="34" t="s">
        <v>188</v>
      </c>
      <c r="J22" s="39">
        <v>108</v>
      </c>
      <c r="K22" s="37">
        <v>46155</v>
      </c>
      <c r="L22" s="38">
        <v>14.3</v>
      </c>
    </row>
    <row r="23" spans="1:12" x14ac:dyDescent="0.3">
      <c r="A23" s="42">
        <v>21</v>
      </c>
      <c r="B23" s="32" t="s">
        <v>22</v>
      </c>
      <c r="C23" s="33" t="s">
        <v>22</v>
      </c>
      <c r="D23" s="39" t="s">
        <v>139</v>
      </c>
      <c r="E23" s="34" t="s">
        <v>264</v>
      </c>
      <c r="F23" s="34" t="s">
        <v>216</v>
      </c>
      <c r="G23" s="37">
        <v>46152</v>
      </c>
      <c r="H23" s="38">
        <v>19.3</v>
      </c>
      <c r="I23" s="34" t="s">
        <v>188</v>
      </c>
      <c r="J23" s="39">
        <v>109</v>
      </c>
      <c r="K23" s="37">
        <v>46155</v>
      </c>
      <c r="L23" s="38">
        <v>14.3</v>
      </c>
    </row>
    <row r="24" spans="1:12" x14ac:dyDescent="0.3">
      <c r="A24" s="42">
        <v>22</v>
      </c>
      <c r="B24" s="32" t="s">
        <v>23</v>
      </c>
      <c r="C24" s="33" t="s">
        <v>22</v>
      </c>
      <c r="D24" s="39" t="s">
        <v>139</v>
      </c>
      <c r="E24" s="34" t="s">
        <v>264</v>
      </c>
      <c r="F24" s="34" t="s">
        <v>216</v>
      </c>
      <c r="G24" s="37">
        <v>46152</v>
      </c>
      <c r="H24" s="38">
        <v>19.3</v>
      </c>
      <c r="I24" s="34" t="s">
        <v>188</v>
      </c>
      <c r="J24" s="39">
        <v>109</v>
      </c>
      <c r="K24" s="37">
        <v>46155</v>
      </c>
      <c r="L24" s="38">
        <v>14.3</v>
      </c>
    </row>
    <row r="25" spans="1:12" x14ac:dyDescent="0.3">
      <c r="A25" s="42">
        <v>23</v>
      </c>
      <c r="B25" s="32" t="s">
        <v>145</v>
      </c>
      <c r="C25" s="33" t="s">
        <v>22</v>
      </c>
      <c r="D25" s="39" t="s">
        <v>139</v>
      </c>
      <c r="E25" s="34" t="s">
        <v>264</v>
      </c>
      <c r="F25" s="34" t="s">
        <v>216</v>
      </c>
      <c r="G25" s="37">
        <v>46152</v>
      </c>
      <c r="H25" s="38">
        <v>19.3</v>
      </c>
      <c r="I25" s="34" t="s">
        <v>188</v>
      </c>
      <c r="J25" s="39">
        <v>109</v>
      </c>
      <c r="K25" s="37">
        <v>46155</v>
      </c>
      <c r="L25" s="38">
        <v>14.3</v>
      </c>
    </row>
    <row r="26" spans="1:12" x14ac:dyDescent="0.3">
      <c r="A26" s="42">
        <v>24</v>
      </c>
      <c r="B26" s="32" t="s">
        <v>146</v>
      </c>
      <c r="C26" s="33" t="s">
        <v>22</v>
      </c>
      <c r="D26" s="39" t="s">
        <v>139</v>
      </c>
      <c r="E26" s="34" t="s">
        <v>264</v>
      </c>
      <c r="F26" s="34" t="s">
        <v>216</v>
      </c>
      <c r="G26" s="37">
        <v>46152</v>
      </c>
      <c r="H26" s="38">
        <v>19.3</v>
      </c>
      <c r="I26" s="34" t="s">
        <v>188</v>
      </c>
      <c r="J26" s="39">
        <v>109</v>
      </c>
      <c r="K26" s="37">
        <v>46155</v>
      </c>
      <c r="L26" s="38">
        <v>14.3</v>
      </c>
    </row>
    <row r="27" spans="1:12" x14ac:dyDescent="0.3">
      <c r="A27" s="42">
        <v>25</v>
      </c>
      <c r="B27" s="32" t="s">
        <v>24</v>
      </c>
      <c r="C27" s="33" t="s">
        <v>24</v>
      </c>
      <c r="D27" s="39" t="s">
        <v>139</v>
      </c>
      <c r="E27" s="34" t="s">
        <v>264</v>
      </c>
      <c r="F27" s="34" t="s">
        <v>216</v>
      </c>
      <c r="G27" s="37">
        <v>46152</v>
      </c>
      <c r="H27" s="38">
        <v>19.3</v>
      </c>
      <c r="I27" s="34" t="s">
        <v>188</v>
      </c>
      <c r="J27" s="39">
        <v>110</v>
      </c>
      <c r="K27" s="37">
        <v>46155</v>
      </c>
      <c r="L27" s="38">
        <v>14.3</v>
      </c>
    </row>
    <row r="28" spans="1:12" x14ac:dyDescent="0.3">
      <c r="A28" s="42">
        <v>26</v>
      </c>
      <c r="B28" s="32" t="s">
        <v>31</v>
      </c>
      <c r="C28" s="33" t="s">
        <v>24</v>
      </c>
      <c r="D28" s="39" t="s">
        <v>139</v>
      </c>
      <c r="E28" s="34" t="s">
        <v>264</v>
      </c>
      <c r="F28" s="34" t="s">
        <v>216</v>
      </c>
      <c r="G28" s="37">
        <v>46152</v>
      </c>
      <c r="H28" s="38">
        <v>19.3</v>
      </c>
      <c r="I28" s="34" t="s">
        <v>188</v>
      </c>
      <c r="J28" s="39">
        <v>110</v>
      </c>
      <c r="K28" s="37">
        <v>46155</v>
      </c>
      <c r="L28" s="38">
        <v>14.3</v>
      </c>
    </row>
    <row r="29" spans="1:12" x14ac:dyDescent="0.3">
      <c r="A29" s="42">
        <v>27</v>
      </c>
      <c r="B29" s="32" t="s">
        <v>147</v>
      </c>
      <c r="C29" s="33" t="s">
        <v>24</v>
      </c>
      <c r="D29" s="39" t="s">
        <v>139</v>
      </c>
      <c r="E29" s="34" t="s">
        <v>264</v>
      </c>
      <c r="F29" s="34" t="s">
        <v>216</v>
      </c>
      <c r="G29" s="37">
        <v>46152</v>
      </c>
      <c r="H29" s="38">
        <v>19.3</v>
      </c>
      <c r="I29" s="34" t="s">
        <v>188</v>
      </c>
      <c r="J29" s="39">
        <v>110</v>
      </c>
      <c r="K29" s="37">
        <v>46155</v>
      </c>
      <c r="L29" s="38">
        <v>14.3</v>
      </c>
    </row>
    <row r="30" spans="1:12" x14ac:dyDescent="0.3">
      <c r="A30" s="42">
        <v>28</v>
      </c>
      <c r="B30" s="32" t="s">
        <v>148</v>
      </c>
      <c r="C30" s="33" t="s">
        <v>24</v>
      </c>
      <c r="D30" s="39" t="s">
        <v>139</v>
      </c>
      <c r="E30" s="34" t="s">
        <v>264</v>
      </c>
      <c r="F30" s="34" t="s">
        <v>216</v>
      </c>
      <c r="G30" s="37">
        <v>46152</v>
      </c>
      <c r="H30" s="38">
        <v>19.3</v>
      </c>
      <c r="I30" s="34" t="s">
        <v>188</v>
      </c>
      <c r="J30" s="39">
        <v>110</v>
      </c>
      <c r="K30" s="37">
        <v>46155</v>
      </c>
      <c r="L30" s="38">
        <v>14.3</v>
      </c>
    </row>
    <row r="31" spans="1:12" x14ac:dyDescent="0.3">
      <c r="A31" s="42">
        <v>29</v>
      </c>
      <c r="B31" s="32" t="s">
        <v>46</v>
      </c>
      <c r="C31" s="33" t="s">
        <v>46</v>
      </c>
      <c r="D31" s="39" t="s">
        <v>122</v>
      </c>
      <c r="E31" s="34" t="s">
        <v>217</v>
      </c>
      <c r="F31" s="34" t="s">
        <v>187</v>
      </c>
      <c r="G31" s="37">
        <v>46152</v>
      </c>
      <c r="H31" s="38">
        <v>19.3</v>
      </c>
      <c r="I31" s="34" t="s">
        <v>188</v>
      </c>
      <c r="J31" s="39">
        <v>111</v>
      </c>
      <c r="K31" s="37">
        <v>46155</v>
      </c>
      <c r="L31" s="38">
        <v>14.3</v>
      </c>
    </row>
    <row r="32" spans="1:12" x14ac:dyDescent="0.3">
      <c r="A32" s="42">
        <v>30</v>
      </c>
      <c r="B32" s="32" t="s">
        <v>6</v>
      </c>
      <c r="C32" s="33" t="s">
        <v>46</v>
      </c>
      <c r="D32" s="39" t="s">
        <v>122</v>
      </c>
      <c r="E32" s="34" t="s">
        <v>217</v>
      </c>
      <c r="F32" s="34" t="s">
        <v>187</v>
      </c>
      <c r="G32" s="37">
        <v>46152</v>
      </c>
      <c r="H32" s="38">
        <v>19.3</v>
      </c>
      <c r="I32" s="34" t="s">
        <v>188</v>
      </c>
      <c r="J32" s="39">
        <v>111</v>
      </c>
      <c r="K32" s="37">
        <v>46155</v>
      </c>
      <c r="L32" s="38">
        <v>14.3</v>
      </c>
    </row>
    <row r="33" spans="1:12" x14ac:dyDescent="0.3">
      <c r="A33" s="42">
        <v>31</v>
      </c>
      <c r="B33" s="32" t="s">
        <v>33</v>
      </c>
      <c r="C33" s="33" t="s">
        <v>46</v>
      </c>
      <c r="D33" s="39" t="s">
        <v>122</v>
      </c>
      <c r="E33" s="34" t="s">
        <v>217</v>
      </c>
      <c r="F33" s="34" t="s">
        <v>187</v>
      </c>
      <c r="G33" s="37">
        <v>46152</v>
      </c>
      <c r="H33" s="38">
        <v>19.3</v>
      </c>
      <c r="I33" s="34" t="s">
        <v>188</v>
      </c>
      <c r="J33" s="39">
        <v>111</v>
      </c>
      <c r="K33" s="37">
        <v>46155</v>
      </c>
      <c r="L33" s="38">
        <v>14.3</v>
      </c>
    </row>
    <row r="34" spans="1:12" x14ac:dyDescent="0.3">
      <c r="A34" s="42">
        <v>32</v>
      </c>
      <c r="B34" s="32" t="s">
        <v>31</v>
      </c>
      <c r="C34" s="33" t="s">
        <v>46</v>
      </c>
      <c r="D34" s="39" t="s">
        <v>122</v>
      </c>
      <c r="E34" s="34" t="s">
        <v>217</v>
      </c>
      <c r="F34" s="34" t="s">
        <v>187</v>
      </c>
      <c r="G34" s="37">
        <v>46152</v>
      </c>
      <c r="H34" s="38">
        <v>19.3</v>
      </c>
      <c r="I34" s="34" t="s">
        <v>188</v>
      </c>
      <c r="J34" s="39">
        <v>111</v>
      </c>
      <c r="K34" s="37">
        <v>46155</v>
      </c>
      <c r="L34" s="38">
        <v>14.3</v>
      </c>
    </row>
    <row r="35" spans="1:12" x14ac:dyDescent="0.3">
      <c r="A35" s="44">
        <v>33</v>
      </c>
      <c r="B35" s="45" t="s">
        <v>20</v>
      </c>
      <c r="C35" s="46" t="s">
        <v>20</v>
      </c>
      <c r="D35" s="47" t="s">
        <v>218</v>
      </c>
      <c r="E35" s="48" t="s">
        <v>219</v>
      </c>
      <c r="F35" s="48" t="s">
        <v>187</v>
      </c>
      <c r="G35" s="49">
        <v>46152</v>
      </c>
      <c r="H35" s="50">
        <v>21.3</v>
      </c>
      <c r="I35" s="48" t="s">
        <v>188</v>
      </c>
      <c r="J35" s="48">
        <v>112</v>
      </c>
      <c r="K35" s="49">
        <v>46155</v>
      </c>
      <c r="L35" s="50">
        <v>14.3</v>
      </c>
    </row>
    <row r="36" spans="1:12" x14ac:dyDescent="0.3">
      <c r="A36" s="44">
        <v>34</v>
      </c>
      <c r="B36" s="45" t="s">
        <v>21</v>
      </c>
      <c r="C36" s="46" t="s">
        <v>20</v>
      </c>
      <c r="D36" s="47" t="s">
        <v>218</v>
      </c>
      <c r="E36" s="48" t="s">
        <v>219</v>
      </c>
      <c r="F36" s="48" t="s">
        <v>187</v>
      </c>
      <c r="G36" s="49">
        <v>46152</v>
      </c>
      <c r="H36" s="50">
        <v>21.3</v>
      </c>
      <c r="I36" s="48" t="s">
        <v>188</v>
      </c>
      <c r="J36" s="48">
        <v>112</v>
      </c>
      <c r="K36" s="49">
        <v>46155</v>
      </c>
      <c r="L36" s="50">
        <v>14.3</v>
      </c>
    </row>
    <row r="37" spans="1:12" x14ac:dyDescent="0.3">
      <c r="A37" s="44">
        <v>35</v>
      </c>
      <c r="B37" s="45" t="s">
        <v>149</v>
      </c>
      <c r="C37" s="46" t="s">
        <v>20</v>
      </c>
      <c r="D37" s="47" t="s">
        <v>218</v>
      </c>
      <c r="E37" s="48" t="s">
        <v>219</v>
      </c>
      <c r="F37" s="48" t="s">
        <v>187</v>
      </c>
      <c r="G37" s="49">
        <v>46152</v>
      </c>
      <c r="H37" s="50">
        <v>21.3</v>
      </c>
      <c r="I37" s="48" t="s">
        <v>188</v>
      </c>
      <c r="J37" s="48">
        <v>112</v>
      </c>
      <c r="K37" s="49">
        <v>46155</v>
      </c>
      <c r="L37" s="50">
        <v>14.3</v>
      </c>
    </row>
    <row r="38" spans="1:12" x14ac:dyDescent="0.3">
      <c r="A38" s="44">
        <v>36</v>
      </c>
      <c r="B38" s="45" t="s">
        <v>150</v>
      </c>
      <c r="C38" s="46" t="s">
        <v>20</v>
      </c>
      <c r="D38" s="47" t="s">
        <v>218</v>
      </c>
      <c r="E38" s="48" t="s">
        <v>219</v>
      </c>
      <c r="F38" s="48" t="s">
        <v>187</v>
      </c>
      <c r="G38" s="49">
        <v>46152</v>
      </c>
      <c r="H38" s="50">
        <v>21.3</v>
      </c>
      <c r="I38" s="48" t="s">
        <v>188</v>
      </c>
      <c r="J38" s="48">
        <v>112</v>
      </c>
      <c r="K38" s="49">
        <v>46155</v>
      </c>
      <c r="L38" s="50">
        <v>14.3</v>
      </c>
    </row>
    <row r="39" spans="1:12" x14ac:dyDescent="0.3">
      <c r="A39" s="42">
        <v>37</v>
      </c>
      <c r="B39" s="32" t="s">
        <v>7</v>
      </c>
      <c r="C39" s="33" t="s">
        <v>266</v>
      </c>
      <c r="D39" s="39" t="s">
        <v>139</v>
      </c>
      <c r="E39" s="34" t="s">
        <v>263</v>
      </c>
      <c r="F39" s="34" t="s">
        <v>190</v>
      </c>
      <c r="G39" s="37">
        <v>46152</v>
      </c>
      <c r="H39" s="38">
        <v>11.3</v>
      </c>
      <c r="I39" s="34" t="s">
        <v>188</v>
      </c>
      <c r="J39" s="39">
        <v>113</v>
      </c>
      <c r="K39" s="37">
        <v>46155</v>
      </c>
      <c r="L39" s="38">
        <v>14.3</v>
      </c>
    </row>
    <row r="40" spans="1:12" x14ac:dyDescent="0.3">
      <c r="A40" s="42">
        <v>38</v>
      </c>
      <c r="B40" s="32" t="s">
        <v>47</v>
      </c>
      <c r="C40" s="33" t="s">
        <v>266</v>
      </c>
      <c r="D40" s="39" t="s">
        <v>139</v>
      </c>
      <c r="E40" s="34" t="s">
        <v>263</v>
      </c>
      <c r="F40" s="34" t="s">
        <v>220</v>
      </c>
      <c r="G40" s="37">
        <v>46153</v>
      </c>
      <c r="H40" s="38">
        <v>11.3</v>
      </c>
      <c r="I40" s="34" t="s">
        <v>188</v>
      </c>
      <c r="J40" s="39">
        <v>202</v>
      </c>
      <c r="K40" s="37">
        <v>46155</v>
      </c>
      <c r="L40" s="38">
        <v>14.3</v>
      </c>
    </row>
    <row r="41" spans="1:12" x14ac:dyDescent="0.3">
      <c r="A41" s="42">
        <v>39</v>
      </c>
      <c r="B41" s="32" t="s">
        <v>48</v>
      </c>
      <c r="C41" s="33" t="s">
        <v>48</v>
      </c>
      <c r="D41" s="39" t="s">
        <v>122</v>
      </c>
      <c r="E41" s="34" t="s">
        <v>217</v>
      </c>
      <c r="F41" s="34" t="s">
        <v>187</v>
      </c>
      <c r="G41" s="37">
        <v>46152</v>
      </c>
      <c r="H41" s="38">
        <v>19.3</v>
      </c>
      <c r="I41" s="34" t="s">
        <v>221</v>
      </c>
      <c r="J41" s="34">
        <v>1</v>
      </c>
      <c r="K41" s="37">
        <v>46155</v>
      </c>
      <c r="L41" s="38">
        <v>14.3</v>
      </c>
    </row>
    <row r="42" spans="1:12" x14ac:dyDescent="0.3">
      <c r="A42" s="42">
        <v>40</v>
      </c>
      <c r="B42" s="32" t="s">
        <v>8</v>
      </c>
      <c r="C42" s="33" t="s">
        <v>48</v>
      </c>
      <c r="D42" s="39" t="s">
        <v>122</v>
      </c>
      <c r="E42" s="34" t="s">
        <v>217</v>
      </c>
      <c r="F42" s="34" t="s">
        <v>187</v>
      </c>
      <c r="G42" s="37">
        <v>46152</v>
      </c>
      <c r="H42" s="38">
        <v>19.3</v>
      </c>
      <c r="I42" s="34" t="s">
        <v>221</v>
      </c>
      <c r="J42" s="34">
        <v>1</v>
      </c>
      <c r="K42" s="37">
        <v>46155</v>
      </c>
      <c r="L42" s="38">
        <v>14.3</v>
      </c>
    </row>
    <row r="43" spans="1:12" x14ac:dyDescent="0.3">
      <c r="A43" s="42">
        <v>41</v>
      </c>
      <c r="B43" s="32" t="s">
        <v>28</v>
      </c>
      <c r="C43" s="33" t="s">
        <v>28</v>
      </c>
      <c r="D43" s="39" t="s">
        <v>122</v>
      </c>
      <c r="E43" s="34" t="s">
        <v>217</v>
      </c>
      <c r="F43" s="34" t="s">
        <v>187</v>
      </c>
      <c r="G43" s="37">
        <v>46152</v>
      </c>
      <c r="H43" s="38">
        <v>19.3</v>
      </c>
      <c r="I43" s="34" t="s">
        <v>221</v>
      </c>
      <c r="J43" s="34">
        <v>4</v>
      </c>
      <c r="K43" s="37">
        <v>46155</v>
      </c>
      <c r="L43" s="38">
        <v>14.3</v>
      </c>
    </row>
    <row r="44" spans="1:12" x14ac:dyDescent="0.3">
      <c r="A44" s="42">
        <v>42</v>
      </c>
      <c r="B44" s="32" t="s">
        <v>9</v>
      </c>
      <c r="C44" s="33" t="s">
        <v>28</v>
      </c>
      <c r="D44" s="39" t="s">
        <v>122</v>
      </c>
      <c r="E44" s="34" t="s">
        <v>217</v>
      </c>
      <c r="F44" s="34" t="s">
        <v>187</v>
      </c>
      <c r="G44" s="37">
        <v>46152</v>
      </c>
      <c r="H44" s="38">
        <v>19.3</v>
      </c>
      <c r="I44" s="34" t="s">
        <v>221</v>
      </c>
      <c r="J44" s="34">
        <v>4</v>
      </c>
      <c r="K44" s="37">
        <v>46155</v>
      </c>
      <c r="L44" s="38">
        <v>14.3</v>
      </c>
    </row>
    <row r="45" spans="1:12" x14ac:dyDescent="0.3">
      <c r="A45" s="42">
        <v>43</v>
      </c>
      <c r="B45" s="32" t="s">
        <v>49</v>
      </c>
      <c r="C45" s="33" t="s">
        <v>28</v>
      </c>
      <c r="D45" s="39" t="s">
        <v>122</v>
      </c>
      <c r="E45" s="34" t="s">
        <v>217</v>
      </c>
      <c r="F45" s="34" t="s">
        <v>187</v>
      </c>
      <c r="G45" s="37">
        <v>46152</v>
      </c>
      <c r="H45" s="38">
        <v>19.3</v>
      </c>
      <c r="I45" s="34" t="s">
        <v>221</v>
      </c>
      <c r="J45" s="34">
        <v>13</v>
      </c>
      <c r="K45" s="37">
        <v>46155</v>
      </c>
      <c r="L45" s="38">
        <v>14.3</v>
      </c>
    </row>
    <row r="46" spans="1:12" x14ac:dyDescent="0.3">
      <c r="A46" s="42">
        <v>44</v>
      </c>
      <c r="B46" s="32" t="s">
        <v>271</v>
      </c>
      <c r="C46" s="33" t="s">
        <v>28</v>
      </c>
      <c r="D46" s="39" t="s">
        <v>122</v>
      </c>
      <c r="E46" s="34" t="s">
        <v>217</v>
      </c>
      <c r="F46" s="34" t="s">
        <v>187</v>
      </c>
      <c r="G46" s="37">
        <v>46152</v>
      </c>
      <c r="H46" s="38">
        <v>19.3</v>
      </c>
      <c r="I46" s="34" t="s">
        <v>221</v>
      </c>
      <c r="J46" s="34">
        <v>13</v>
      </c>
      <c r="K46" s="37">
        <v>46155</v>
      </c>
      <c r="L46" s="38">
        <v>14.3</v>
      </c>
    </row>
    <row r="47" spans="1:12" x14ac:dyDescent="0.3">
      <c r="A47" s="42">
        <v>45</v>
      </c>
      <c r="B47" s="32" t="s">
        <v>10</v>
      </c>
      <c r="C47" s="33" t="s">
        <v>10</v>
      </c>
      <c r="D47" s="39" t="s">
        <v>139</v>
      </c>
      <c r="E47" s="34" t="s">
        <v>263</v>
      </c>
      <c r="F47" s="34" t="s">
        <v>220</v>
      </c>
      <c r="G47" s="37">
        <v>46153</v>
      </c>
      <c r="H47" s="38">
        <v>11.3</v>
      </c>
      <c r="I47" s="34" t="s">
        <v>221</v>
      </c>
      <c r="J47" s="39">
        <v>2</v>
      </c>
      <c r="K47" s="37">
        <v>46155</v>
      </c>
      <c r="L47" s="38">
        <v>14.3</v>
      </c>
    </row>
    <row r="48" spans="1:12" x14ac:dyDescent="0.3">
      <c r="A48" s="42">
        <v>46</v>
      </c>
      <c r="B48" s="32" t="s">
        <v>50</v>
      </c>
      <c r="C48" s="33" t="s">
        <v>10</v>
      </c>
      <c r="D48" s="39" t="s">
        <v>139</v>
      </c>
      <c r="E48" s="34" t="s">
        <v>263</v>
      </c>
      <c r="F48" s="34" t="s">
        <v>220</v>
      </c>
      <c r="G48" s="37">
        <v>46153</v>
      </c>
      <c r="H48" s="38">
        <v>11.3</v>
      </c>
      <c r="I48" s="34" t="s">
        <v>221</v>
      </c>
      <c r="J48" s="39">
        <v>2</v>
      </c>
      <c r="K48" s="37">
        <v>46155</v>
      </c>
      <c r="L48" s="38">
        <v>14.3</v>
      </c>
    </row>
    <row r="49" spans="1:12" x14ac:dyDescent="0.3">
      <c r="A49" s="42">
        <v>47</v>
      </c>
      <c r="B49" s="32" t="s">
        <v>223</v>
      </c>
      <c r="C49" s="33" t="s">
        <v>222</v>
      </c>
      <c r="D49" s="34" t="s">
        <v>119</v>
      </c>
      <c r="E49" s="34" t="s">
        <v>186</v>
      </c>
      <c r="F49" s="34" t="s">
        <v>115</v>
      </c>
      <c r="G49" s="35">
        <v>46151</v>
      </c>
      <c r="H49" s="36">
        <v>14.3</v>
      </c>
      <c r="I49" s="34" t="s">
        <v>188</v>
      </c>
      <c r="J49" s="34">
        <v>201</v>
      </c>
      <c r="K49" s="35">
        <v>46156</v>
      </c>
      <c r="L49" s="36">
        <v>9.3000000000000007</v>
      </c>
    </row>
    <row r="50" spans="1:12" x14ac:dyDescent="0.3">
      <c r="A50" s="42">
        <v>48</v>
      </c>
      <c r="B50" s="32" t="s">
        <v>51</v>
      </c>
      <c r="C50" s="33" t="s">
        <v>222</v>
      </c>
      <c r="D50" s="34" t="s">
        <v>119</v>
      </c>
      <c r="E50" s="34" t="s">
        <v>186</v>
      </c>
      <c r="F50" s="34" t="s">
        <v>115</v>
      </c>
      <c r="G50" s="35">
        <v>46151</v>
      </c>
      <c r="H50" s="36">
        <v>14.3</v>
      </c>
      <c r="I50" s="34" t="s">
        <v>188</v>
      </c>
      <c r="J50" s="34">
        <v>201</v>
      </c>
      <c r="K50" s="35">
        <v>46156</v>
      </c>
      <c r="L50" s="36">
        <v>9.3000000000000007</v>
      </c>
    </row>
    <row r="51" spans="1:12" x14ac:dyDescent="0.3">
      <c r="A51" s="42">
        <v>49</v>
      </c>
      <c r="B51" s="32" t="s">
        <v>52</v>
      </c>
      <c r="C51" s="33" t="s">
        <v>224</v>
      </c>
      <c r="D51" s="39" t="s">
        <v>122</v>
      </c>
      <c r="E51" s="34" t="s">
        <v>229</v>
      </c>
      <c r="F51" s="34" t="s">
        <v>187</v>
      </c>
      <c r="G51" s="37">
        <v>46152</v>
      </c>
      <c r="H51" s="38">
        <v>19.3</v>
      </c>
      <c r="I51" s="34" t="s">
        <v>188</v>
      </c>
      <c r="J51" s="34">
        <v>114</v>
      </c>
      <c r="K51" s="37">
        <v>46155</v>
      </c>
      <c r="L51" s="38">
        <v>14.3</v>
      </c>
    </row>
    <row r="52" spans="1:12" x14ac:dyDescent="0.3">
      <c r="A52" s="42">
        <v>50</v>
      </c>
      <c r="B52" s="32" t="s">
        <v>37</v>
      </c>
      <c r="C52" s="33" t="s">
        <v>224</v>
      </c>
      <c r="D52" s="39" t="s">
        <v>122</v>
      </c>
      <c r="E52" s="34" t="s">
        <v>229</v>
      </c>
      <c r="F52" s="34" t="s">
        <v>187</v>
      </c>
      <c r="G52" s="37">
        <v>46152</v>
      </c>
      <c r="H52" s="38">
        <v>19.3</v>
      </c>
      <c r="I52" s="34" t="s">
        <v>188</v>
      </c>
      <c r="J52" s="34">
        <v>114</v>
      </c>
      <c r="K52" s="37">
        <v>46155</v>
      </c>
      <c r="L52" s="38">
        <v>14.3</v>
      </c>
    </row>
    <row r="53" spans="1:12" x14ac:dyDescent="0.3">
      <c r="A53" s="42">
        <v>51</v>
      </c>
      <c r="B53" s="32" t="s">
        <v>151</v>
      </c>
      <c r="C53" s="33" t="s">
        <v>25</v>
      </c>
      <c r="D53" s="39" t="s">
        <v>218</v>
      </c>
      <c r="E53" s="34" t="s">
        <v>219</v>
      </c>
      <c r="F53" s="34" t="s">
        <v>187</v>
      </c>
      <c r="G53" s="37">
        <v>46152</v>
      </c>
      <c r="H53" s="38">
        <v>21.3</v>
      </c>
      <c r="I53" s="34" t="s">
        <v>188</v>
      </c>
      <c r="J53" s="34">
        <v>114</v>
      </c>
      <c r="K53" s="37">
        <v>46155</v>
      </c>
      <c r="L53" s="38">
        <v>14.3</v>
      </c>
    </row>
    <row r="54" spans="1:12" x14ac:dyDescent="0.3">
      <c r="A54" s="42">
        <v>52</v>
      </c>
      <c r="B54" s="32" t="s">
        <v>11</v>
      </c>
      <c r="C54" s="33" t="s">
        <v>11</v>
      </c>
      <c r="D54" s="39" t="s">
        <v>139</v>
      </c>
      <c r="E54" s="34" t="s">
        <v>263</v>
      </c>
      <c r="F54" s="34" t="s">
        <v>225</v>
      </c>
      <c r="G54" s="37">
        <v>46153</v>
      </c>
      <c r="H54" s="38">
        <v>5.3</v>
      </c>
      <c r="I54" s="34" t="s">
        <v>188</v>
      </c>
      <c r="J54" s="39">
        <v>214</v>
      </c>
      <c r="K54" s="37">
        <v>46155</v>
      </c>
      <c r="L54" s="38">
        <v>14.3</v>
      </c>
    </row>
    <row r="55" spans="1:12" x14ac:dyDescent="0.3">
      <c r="A55" s="42">
        <v>53</v>
      </c>
      <c r="B55" s="32" t="s">
        <v>78</v>
      </c>
      <c r="C55" s="33" t="s">
        <v>11</v>
      </c>
      <c r="D55" s="39" t="s">
        <v>139</v>
      </c>
      <c r="E55" s="34" t="s">
        <v>263</v>
      </c>
      <c r="F55" s="34" t="s">
        <v>225</v>
      </c>
      <c r="G55" s="37">
        <v>46153</v>
      </c>
      <c r="H55" s="38">
        <v>5.3</v>
      </c>
      <c r="I55" s="34" t="s">
        <v>188</v>
      </c>
      <c r="J55" s="39">
        <v>214</v>
      </c>
      <c r="K55" s="37">
        <v>46155</v>
      </c>
      <c r="L55" s="38">
        <v>14.3</v>
      </c>
    </row>
    <row r="56" spans="1:12" x14ac:dyDescent="0.3">
      <c r="A56" s="42">
        <v>54</v>
      </c>
      <c r="B56" s="32" t="s">
        <v>152</v>
      </c>
      <c r="C56" s="33" t="s">
        <v>11</v>
      </c>
      <c r="D56" s="39" t="s">
        <v>139</v>
      </c>
      <c r="E56" s="34" t="s">
        <v>263</v>
      </c>
      <c r="F56" s="34" t="s">
        <v>225</v>
      </c>
      <c r="G56" s="37">
        <v>46153</v>
      </c>
      <c r="H56" s="38">
        <v>5.3</v>
      </c>
      <c r="I56" s="34" t="s">
        <v>188</v>
      </c>
      <c r="J56" s="39">
        <v>214</v>
      </c>
      <c r="K56" s="37">
        <v>46155</v>
      </c>
      <c r="L56" s="38">
        <v>14.3</v>
      </c>
    </row>
    <row r="57" spans="1:12" x14ac:dyDescent="0.3">
      <c r="A57" s="42">
        <v>55</v>
      </c>
      <c r="B57" s="32" t="s">
        <v>79</v>
      </c>
      <c r="C57" s="33" t="s">
        <v>266</v>
      </c>
      <c r="D57" s="39" t="s">
        <v>139</v>
      </c>
      <c r="E57" s="34" t="s">
        <v>264</v>
      </c>
      <c r="F57" s="34" t="s">
        <v>216</v>
      </c>
      <c r="G57" s="37">
        <v>46152</v>
      </c>
      <c r="H57" s="38">
        <v>19.3</v>
      </c>
      <c r="I57" s="34" t="s">
        <v>188</v>
      </c>
      <c r="J57" s="39">
        <v>113</v>
      </c>
      <c r="K57" s="37">
        <v>46155</v>
      </c>
      <c r="L57" s="38">
        <v>14.3</v>
      </c>
    </row>
    <row r="58" spans="1:12" x14ac:dyDescent="0.3">
      <c r="A58" s="42">
        <v>56</v>
      </c>
      <c r="B58" s="32" t="s">
        <v>227</v>
      </c>
      <c r="C58" s="33" t="s">
        <v>23</v>
      </c>
      <c r="D58" s="39" t="s">
        <v>139</v>
      </c>
      <c r="E58" s="34" t="s">
        <v>264</v>
      </c>
      <c r="F58" s="34" t="s">
        <v>216</v>
      </c>
      <c r="G58" s="37">
        <v>46152</v>
      </c>
      <c r="H58" s="38">
        <v>19.3</v>
      </c>
      <c r="I58" s="34" t="s">
        <v>188</v>
      </c>
      <c r="J58" s="39">
        <v>209</v>
      </c>
      <c r="K58" s="37">
        <v>46155</v>
      </c>
      <c r="L58" s="38">
        <v>14.3</v>
      </c>
    </row>
    <row r="59" spans="1:12" x14ac:dyDescent="0.3">
      <c r="A59" s="42">
        <v>57</v>
      </c>
      <c r="B59" s="32" t="s">
        <v>226</v>
      </c>
      <c r="C59" s="33" t="s">
        <v>23</v>
      </c>
      <c r="D59" s="39" t="s">
        <v>139</v>
      </c>
      <c r="E59" s="34" t="s">
        <v>264</v>
      </c>
      <c r="F59" s="34" t="s">
        <v>216</v>
      </c>
      <c r="G59" s="37">
        <v>46152</v>
      </c>
      <c r="H59" s="38">
        <v>19.3</v>
      </c>
      <c r="I59" s="34" t="s">
        <v>188</v>
      </c>
      <c r="J59" s="39">
        <v>209</v>
      </c>
      <c r="K59" s="37">
        <v>46155</v>
      </c>
      <c r="L59" s="38">
        <v>14.3</v>
      </c>
    </row>
    <row r="60" spans="1:12" x14ac:dyDescent="0.3">
      <c r="A60" s="42">
        <v>58</v>
      </c>
      <c r="B60" s="32" t="s">
        <v>13</v>
      </c>
      <c r="C60" s="33" t="s">
        <v>107</v>
      </c>
      <c r="D60" s="39" t="s">
        <v>218</v>
      </c>
      <c r="E60" s="34" t="s">
        <v>257</v>
      </c>
      <c r="F60" s="34" t="s">
        <v>228</v>
      </c>
      <c r="G60" s="37">
        <v>46153</v>
      </c>
      <c r="H60" s="38">
        <v>11.3</v>
      </c>
      <c r="I60" s="34" t="s">
        <v>221</v>
      </c>
      <c r="J60" s="39">
        <v>6</v>
      </c>
      <c r="K60" s="37">
        <v>46155</v>
      </c>
      <c r="L60" s="38">
        <v>14.3</v>
      </c>
    </row>
    <row r="61" spans="1:12" x14ac:dyDescent="0.3">
      <c r="A61" s="42">
        <v>59</v>
      </c>
      <c r="B61" s="32" t="s">
        <v>53</v>
      </c>
      <c r="C61" s="33" t="s">
        <v>107</v>
      </c>
      <c r="D61" s="39" t="s">
        <v>218</v>
      </c>
      <c r="E61" s="34" t="s">
        <v>257</v>
      </c>
      <c r="F61" s="34" t="s">
        <v>228</v>
      </c>
      <c r="G61" s="37">
        <v>46153</v>
      </c>
      <c r="H61" s="38">
        <v>11.3</v>
      </c>
      <c r="I61" s="34" t="s">
        <v>221</v>
      </c>
      <c r="J61" s="39">
        <v>6</v>
      </c>
      <c r="K61" s="37">
        <v>46155</v>
      </c>
      <c r="L61" s="38">
        <v>14.3</v>
      </c>
    </row>
    <row r="62" spans="1:12" x14ac:dyDescent="0.3">
      <c r="A62" s="42">
        <v>60</v>
      </c>
      <c r="B62" s="32" t="s">
        <v>14</v>
      </c>
      <c r="C62" s="33" t="s">
        <v>14</v>
      </c>
      <c r="D62" s="39" t="s">
        <v>122</v>
      </c>
      <c r="E62" s="34" t="s">
        <v>229</v>
      </c>
      <c r="F62" s="34" t="s">
        <v>187</v>
      </c>
      <c r="G62" s="37">
        <v>46152</v>
      </c>
      <c r="H62" s="38">
        <v>19.3</v>
      </c>
      <c r="I62" s="34" t="s">
        <v>188</v>
      </c>
      <c r="J62" s="39">
        <v>203</v>
      </c>
      <c r="K62" s="37">
        <v>46155</v>
      </c>
      <c r="L62" s="38">
        <v>14.3</v>
      </c>
    </row>
    <row r="63" spans="1:12" x14ac:dyDescent="0.3">
      <c r="A63" s="42">
        <v>61</v>
      </c>
      <c r="B63" s="32" t="s">
        <v>36</v>
      </c>
      <c r="C63" s="33" t="s">
        <v>14</v>
      </c>
      <c r="D63" s="39" t="s">
        <v>122</v>
      </c>
      <c r="E63" s="34" t="s">
        <v>229</v>
      </c>
      <c r="F63" s="34" t="s">
        <v>187</v>
      </c>
      <c r="G63" s="37">
        <v>46152</v>
      </c>
      <c r="H63" s="38">
        <v>19.3</v>
      </c>
      <c r="I63" s="34" t="s">
        <v>188</v>
      </c>
      <c r="J63" s="39">
        <v>203</v>
      </c>
      <c r="K63" s="37">
        <v>46155</v>
      </c>
      <c r="L63" s="38">
        <v>14.3</v>
      </c>
    </row>
    <row r="64" spans="1:12" x14ac:dyDescent="0.3">
      <c r="A64" s="42">
        <v>62</v>
      </c>
      <c r="B64" s="32" t="s">
        <v>153</v>
      </c>
      <c r="C64" s="33" t="s">
        <v>14</v>
      </c>
      <c r="D64" s="39" t="s">
        <v>122</v>
      </c>
      <c r="E64" s="34" t="s">
        <v>229</v>
      </c>
      <c r="F64" s="34" t="s">
        <v>187</v>
      </c>
      <c r="G64" s="37">
        <v>46152</v>
      </c>
      <c r="H64" s="38">
        <v>19.3</v>
      </c>
      <c r="I64" s="34" t="s">
        <v>188</v>
      </c>
      <c r="J64" s="34">
        <v>203</v>
      </c>
      <c r="K64" s="37">
        <v>46155</v>
      </c>
      <c r="L64" s="38">
        <v>14.3</v>
      </c>
    </row>
    <row r="65" spans="1:12" x14ac:dyDescent="0.3">
      <c r="A65" s="42">
        <v>63</v>
      </c>
      <c r="B65" s="32" t="s">
        <v>54</v>
      </c>
      <c r="C65" s="32" t="s">
        <v>54</v>
      </c>
      <c r="D65" s="39" t="s">
        <v>122</v>
      </c>
      <c r="E65" s="34" t="s">
        <v>212</v>
      </c>
      <c r="F65" s="34" t="s">
        <v>115</v>
      </c>
      <c r="G65" s="37">
        <v>46152</v>
      </c>
      <c r="H65" s="38">
        <v>19.3</v>
      </c>
      <c r="I65" s="34" t="s">
        <v>188</v>
      </c>
      <c r="J65" s="39">
        <v>204</v>
      </c>
      <c r="K65" s="37">
        <v>46155</v>
      </c>
      <c r="L65" s="38">
        <v>14.3</v>
      </c>
    </row>
    <row r="66" spans="1:12" x14ac:dyDescent="0.3">
      <c r="A66" s="42">
        <v>64</v>
      </c>
      <c r="B66" s="32" t="s">
        <v>55</v>
      </c>
      <c r="C66" s="32" t="s">
        <v>54</v>
      </c>
      <c r="D66" s="39" t="s">
        <v>122</v>
      </c>
      <c r="E66" s="34" t="s">
        <v>212</v>
      </c>
      <c r="F66" s="34" t="s">
        <v>115</v>
      </c>
      <c r="G66" s="37">
        <v>46152</v>
      </c>
      <c r="H66" s="38">
        <v>19.3</v>
      </c>
      <c r="I66" s="34" t="s">
        <v>188</v>
      </c>
      <c r="J66" s="39">
        <v>204</v>
      </c>
      <c r="K66" s="37">
        <v>46155</v>
      </c>
      <c r="L66" s="38">
        <v>14.3</v>
      </c>
    </row>
    <row r="67" spans="1:12" x14ac:dyDescent="0.3">
      <c r="A67" s="42">
        <v>65</v>
      </c>
      <c r="B67" s="32" t="s">
        <v>30</v>
      </c>
      <c r="C67" s="32" t="s">
        <v>80</v>
      </c>
      <c r="D67" s="39" t="s">
        <v>218</v>
      </c>
      <c r="E67" s="34" t="s">
        <v>258</v>
      </c>
      <c r="F67" s="34" t="s">
        <v>228</v>
      </c>
      <c r="G67" s="37">
        <v>46153</v>
      </c>
      <c r="H67" s="38">
        <v>11.3</v>
      </c>
      <c r="I67" s="34" t="s">
        <v>221</v>
      </c>
      <c r="J67" s="39">
        <v>7</v>
      </c>
      <c r="K67" s="37">
        <v>46155</v>
      </c>
      <c r="L67" s="38">
        <v>14.3</v>
      </c>
    </row>
    <row r="68" spans="1:12" x14ac:dyDescent="0.3">
      <c r="A68" s="42">
        <v>66</v>
      </c>
      <c r="B68" s="32" t="s">
        <v>211</v>
      </c>
      <c r="C68" s="32" t="s">
        <v>80</v>
      </c>
      <c r="D68" s="39" t="s">
        <v>218</v>
      </c>
      <c r="E68" s="34" t="s">
        <v>258</v>
      </c>
      <c r="F68" s="34" t="s">
        <v>228</v>
      </c>
      <c r="G68" s="37">
        <v>46153</v>
      </c>
      <c r="H68" s="38">
        <v>11.3</v>
      </c>
      <c r="I68" s="34" t="s">
        <v>221</v>
      </c>
      <c r="J68" s="39">
        <v>7</v>
      </c>
      <c r="K68" s="37">
        <v>46155</v>
      </c>
      <c r="L68" s="38">
        <v>14.3</v>
      </c>
    </row>
    <row r="69" spans="1:12" x14ac:dyDescent="0.3">
      <c r="A69" s="42">
        <v>67</v>
      </c>
      <c r="B69" s="32" t="s">
        <v>56</v>
      </c>
      <c r="C69" s="32" t="s">
        <v>230</v>
      </c>
      <c r="D69" s="39" t="s">
        <v>218</v>
      </c>
      <c r="E69" s="34" t="s">
        <v>259</v>
      </c>
      <c r="F69" s="34" t="s">
        <v>228</v>
      </c>
      <c r="G69" s="37">
        <v>46152</v>
      </c>
      <c r="H69" s="38">
        <v>11.3</v>
      </c>
      <c r="I69" s="34" t="s">
        <v>188</v>
      </c>
      <c r="J69" s="39">
        <v>205</v>
      </c>
      <c r="K69" s="37">
        <v>46155</v>
      </c>
      <c r="L69" s="38">
        <v>14.3</v>
      </c>
    </row>
    <row r="70" spans="1:12" x14ac:dyDescent="0.3">
      <c r="A70" s="42">
        <v>68</v>
      </c>
      <c r="B70" s="32" t="s">
        <v>57</v>
      </c>
      <c r="C70" s="32" t="s">
        <v>230</v>
      </c>
      <c r="D70" s="39" t="s">
        <v>218</v>
      </c>
      <c r="E70" s="34" t="s">
        <v>259</v>
      </c>
      <c r="F70" s="34" t="s">
        <v>228</v>
      </c>
      <c r="G70" s="37">
        <v>46152</v>
      </c>
      <c r="H70" s="38">
        <v>11.3</v>
      </c>
      <c r="I70" s="34" t="s">
        <v>188</v>
      </c>
      <c r="J70" s="39">
        <v>205</v>
      </c>
      <c r="K70" s="37">
        <v>46155</v>
      </c>
      <c r="L70" s="38">
        <v>14.3</v>
      </c>
    </row>
    <row r="71" spans="1:12" x14ac:dyDescent="0.3">
      <c r="A71" s="42">
        <v>69</v>
      </c>
      <c r="B71" s="32" t="s">
        <v>26</v>
      </c>
      <c r="C71" s="32" t="s">
        <v>230</v>
      </c>
      <c r="D71" s="39" t="s">
        <v>218</v>
      </c>
      <c r="E71" s="34" t="s">
        <v>259</v>
      </c>
      <c r="F71" s="34" t="s">
        <v>228</v>
      </c>
      <c r="G71" s="37">
        <v>46152</v>
      </c>
      <c r="H71" s="38">
        <v>11.3</v>
      </c>
      <c r="I71" s="34" t="s">
        <v>188</v>
      </c>
      <c r="J71" s="39">
        <v>205</v>
      </c>
      <c r="K71" s="37">
        <v>46155</v>
      </c>
      <c r="L71" s="38">
        <v>14.3</v>
      </c>
    </row>
    <row r="72" spans="1:12" x14ac:dyDescent="0.3">
      <c r="A72" s="42">
        <v>70</v>
      </c>
      <c r="B72" s="32" t="s">
        <v>58</v>
      </c>
      <c r="C72" s="32" t="s">
        <v>168</v>
      </c>
      <c r="D72" s="39" t="s">
        <v>139</v>
      </c>
      <c r="E72" s="34" t="s">
        <v>228</v>
      </c>
      <c r="F72" s="34" t="s">
        <v>216</v>
      </c>
      <c r="G72" s="37">
        <v>46153</v>
      </c>
      <c r="H72" s="38">
        <v>11.3</v>
      </c>
      <c r="I72" s="34" t="s">
        <v>221</v>
      </c>
      <c r="J72" s="39">
        <v>8</v>
      </c>
      <c r="K72" s="37">
        <v>46155</v>
      </c>
      <c r="L72" s="38">
        <v>14.3</v>
      </c>
    </row>
    <row r="73" spans="1:12" x14ac:dyDescent="0.3">
      <c r="A73" s="42">
        <v>71</v>
      </c>
      <c r="B73" s="32" t="s">
        <v>168</v>
      </c>
      <c r="C73" s="32" t="s">
        <v>168</v>
      </c>
      <c r="D73" s="39" t="s">
        <v>139</v>
      </c>
      <c r="E73" s="34" t="s">
        <v>228</v>
      </c>
      <c r="F73" s="34" t="s">
        <v>216</v>
      </c>
      <c r="G73" s="37">
        <v>46153</v>
      </c>
      <c r="H73" s="38">
        <v>11.3</v>
      </c>
      <c r="I73" s="34" t="s">
        <v>221</v>
      </c>
      <c r="J73" s="39">
        <v>8</v>
      </c>
      <c r="K73" s="37">
        <v>46155</v>
      </c>
      <c r="L73" s="38">
        <v>14.3</v>
      </c>
    </row>
    <row r="74" spans="1:12" x14ac:dyDescent="0.3">
      <c r="A74" s="42">
        <v>72</v>
      </c>
      <c r="B74" s="32" t="s">
        <v>59</v>
      </c>
      <c r="C74" s="32" t="s">
        <v>231</v>
      </c>
      <c r="D74" s="39" t="s">
        <v>218</v>
      </c>
      <c r="E74" s="34" t="s">
        <v>261</v>
      </c>
      <c r="F74" s="34" t="s">
        <v>187</v>
      </c>
      <c r="G74" s="37">
        <v>46153</v>
      </c>
      <c r="H74" s="38">
        <v>11.3</v>
      </c>
      <c r="I74" s="34" t="s">
        <v>221</v>
      </c>
      <c r="J74" s="39">
        <v>9</v>
      </c>
      <c r="K74" s="37">
        <v>46154</v>
      </c>
      <c r="L74" s="38">
        <v>18.3</v>
      </c>
    </row>
    <row r="75" spans="1:12" x14ac:dyDescent="0.3">
      <c r="A75" s="42">
        <v>73</v>
      </c>
      <c r="B75" s="32" t="s">
        <v>265</v>
      </c>
      <c r="C75" s="32" t="s">
        <v>231</v>
      </c>
      <c r="D75" s="39" t="s">
        <v>218</v>
      </c>
      <c r="E75" s="34" t="s">
        <v>261</v>
      </c>
      <c r="F75" s="34" t="s">
        <v>187</v>
      </c>
      <c r="G75" s="37">
        <v>46153</v>
      </c>
      <c r="H75" s="38">
        <v>11.3</v>
      </c>
      <c r="I75" s="34" t="s">
        <v>221</v>
      </c>
      <c r="J75" s="39">
        <v>9</v>
      </c>
      <c r="K75" s="37">
        <v>46154</v>
      </c>
      <c r="L75" s="38">
        <v>18.3</v>
      </c>
    </row>
    <row r="76" spans="1:12" x14ac:dyDescent="0.3">
      <c r="A76" s="42">
        <v>74</v>
      </c>
      <c r="B76" s="32" t="s">
        <v>267</v>
      </c>
      <c r="C76" s="32" t="s">
        <v>266</v>
      </c>
      <c r="D76" s="39" t="s">
        <v>218</v>
      </c>
      <c r="E76" s="34" t="s">
        <v>261</v>
      </c>
      <c r="F76" s="34" t="s">
        <v>187</v>
      </c>
      <c r="G76" s="37">
        <v>46153</v>
      </c>
      <c r="H76" s="38">
        <v>11.3</v>
      </c>
      <c r="I76" s="34" t="s">
        <v>221</v>
      </c>
      <c r="J76" s="39">
        <v>10</v>
      </c>
      <c r="K76" s="37">
        <v>46154</v>
      </c>
      <c r="L76" s="38">
        <v>18.3</v>
      </c>
    </row>
    <row r="77" spans="1:12" x14ac:dyDescent="0.3">
      <c r="A77" s="42">
        <v>75</v>
      </c>
      <c r="B77" s="32" t="s">
        <v>60</v>
      </c>
      <c r="C77" s="32" t="s">
        <v>232</v>
      </c>
      <c r="D77" s="39" t="s">
        <v>233</v>
      </c>
      <c r="E77" s="39" t="s">
        <v>233</v>
      </c>
      <c r="F77" s="34" t="s">
        <v>228</v>
      </c>
      <c r="G77" s="37">
        <v>46153</v>
      </c>
      <c r="H77" s="38">
        <v>17.3</v>
      </c>
      <c r="I77" s="34" t="s">
        <v>221</v>
      </c>
      <c r="J77" s="39">
        <v>11</v>
      </c>
      <c r="K77" s="37">
        <v>46155</v>
      </c>
      <c r="L77" s="38">
        <v>14.3</v>
      </c>
    </row>
    <row r="78" spans="1:12" x14ac:dyDescent="0.3">
      <c r="A78" s="42">
        <v>76</v>
      </c>
      <c r="B78" s="32" t="s">
        <v>61</v>
      </c>
      <c r="C78" s="32" t="s">
        <v>232</v>
      </c>
      <c r="D78" s="39" t="s">
        <v>233</v>
      </c>
      <c r="E78" s="39" t="s">
        <v>233</v>
      </c>
      <c r="F78" s="34" t="s">
        <v>228</v>
      </c>
      <c r="G78" s="37">
        <v>46153</v>
      </c>
      <c r="H78" s="38">
        <v>17.3</v>
      </c>
      <c r="I78" s="34" t="s">
        <v>221</v>
      </c>
      <c r="J78" s="39">
        <v>11</v>
      </c>
      <c r="K78" s="37">
        <v>46155</v>
      </c>
      <c r="L78" s="38">
        <v>14.3</v>
      </c>
    </row>
    <row r="79" spans="1:12" x14ac:dyDescent="0.3">
      <c r="A79" s="42">
        <v>77</v>
      </c>
      <c r="B79" s="32" t="s">
        <v>18</v>
      </c>
      <c r="C79" s="32" t="s">
        <v>17</v>
      </c>
      <c r="D79" s="39" t="s">
        <v>213</v>
      </c>
      <c r="E79" s="34" t="s">
        <v>228</v>
      </c>
      <c r="F79" s="34" t="s">
        <v>234</v>
      </c>
      <c r="G79" s="37">
        <v>46153</v>
      </c>
      <c r="H79" s="38">
        <v>15.3</v>
      </c>
      <c r="I79" s="34" t="s">
        <v>221</v>
      </c>
      <c r="J79" s="39">
        <v>20</v>
      </c>
      <c r="K79" s="37">
        <v>46155</v>
      </c>
      <c r="L79" s="38">
        <v>14.3</v>
      </c>
    </row>
    <row r="80" spans="1:12" x14ac:dyDescent="0.3">
      <c r="A80" s="42">
        <v>78</v>
      </c>
      <c r="B80" s="32" t="s">
        <v>17</v>
      </c>
      <c r="C80" s="32" t="s">
        <v>17</v>
      </c>
      <c r="D80" s="39" t="s">
        <v>213</v>
      </c>
      <c r="E80" s="34" t="s">
        <v>228</v>
      </c>
      <c r="F80" s="34" t="s">
        <v>234</v>
      </c>
      <c r="G80" s="37">
        <v>46153</v>
      </c>
      <c r="H80" s="38">
        <v>15.3</v>
      </c>
      <c r="I80" s="34" t="s">
        <v>221</v>
      </c>
      <c r="J80" s="39">
        <v>20</v>
      </c>
      <c r="K80" s="37">
        <v>46155</v>
      </c>
      <c r="L80" s="38">
        <v>14.3</v>
      </c>
    </row>
    <row r="81" spans="1:12" x14ac:dyDescent="0.3">
      <c r="A81" s="42">
        <v>79</v>
      </c>
      <c r="B81" s="32" t="s">
        <v>154</v>
      </c>
      <c r="C81" s="33" t="s">
        <v>154</v>
      </c>
      <c r="D81" s="39" t="s">
        <v>122</v>
      </c>
      <c r="E81" s="34" t="s">
        <v>217</v>
      </c>
      <c r="F81" s="34" t="s">
        <v>187</v>
      </c>
      <c r="G81" s="37">
        <v>46152</v>
      </c>
      <c r="H81" s="38">
        <v>19.3</v>
      </c>
      <c r="I81" s="34" t="s">
        <v>188</v>
      </c>
      <c r="J81" s="34">
        <v>206</v>
      </c>
      <c r="K81" s="37">
        <v>46155</v>
      </c>
      <c r="L81" s="38">
        <v>14.3</v>
      </c>
    </row>
    <row r="82" spans="1:12" x14ac:dyDescent="0.3">
      <c r="A82" s="42">
        <v>80</v>
      </c>
      <c r="B82" s="32" t="s">
        <v>62</v>
      </c>
      <c r="C82" s="33" t="s">
        <v>154</v>
      </c>
      <c r="D82" s="39" t="s">
        <v>122</v>
      </c>
      <c r="E82" s="34" t="s">
        <v>217</v>
      </c>
      <c r="F82" s="34" t="s">
        <v>187</v>
      </c>
      <c r="G82" s="37">
        <v>46152</v>
      </c>
      <c r="H82" s="38">
        <v>19.3</v>
      </c>
      <c r="I82" s="34" t="s">
        <v>188</v>
      </c>
      <c r="J82" s="34">
        <v>206</v>
      </c>
      <c r="K82" s="37">
        <v>46155</v>
      </c>
      <c r="L82" s="38">
        <v>14.3</v>
      </c>
    </row>
    <row r="83" spans="1:12" x14ac:dyDescent="0.3">
      <c r="A83" s="42">
        <v>81</v>
      </c>
      <c r="B83" s="32" t="s">
        <v>29</v>
      </c>
      <c r="C83" s="32" t="s">
        <v>235</v>
      </c>
      <c r="D83" s="39" t="s">
        <v>218</v>
      </c>
      <c r="E83" s="34" t="s">
        <v>257</v>
      </c>
      <c r="F83" s="34" t="s">
        <v>228</v>
      </c>
      <c r="G83" s="37">
        <v>46153</v>
      </c>
      <c r="H83" s="38">
        <v>11.3</v>
      </c>
      <c r="I83" s="34" t="s">
        <v>221</v>
      </c>
      <c r="J83" s="39">
        <v>12</v>
      </c>
      <c r="K83" s="37">
        <v>46155</v>
      </c>
      <c r="L83" s="38">
        <v>14.3</v>
      </c>
    </row>
    <row r="84" spans="1:12" x14ac:dyDescent="0.3">
      <c r="A84" s="42">
        <v>82</v>
      </c>
      <c r="B84" s="32" t="s">
        <v>63</v>
      </c>
      <c r="C84" s="32" t="s">
        <v>235</v>
      </c>
      <c r="D84" s="39" t="s">
        <v>218</v>
      </c>
      <c r="E84" s="34" t="s">
        <v>257</v>
      </c>
      <c r="F84" s="34" t="s">
        <v>228</v>
      </c>
      <c r="G84" s="37">
        <v>46153</v>
      </c>
      <c r="H84" s="38">
        <v>11.3</v>
      </c>
      <c r="I84" s="34" t="s">
        <v>221</v>
      </c>
      <c r="J84" s="39">
        <v>12</v>
      </c>
      <c r="K84" s="37">
        <v>46155</v>
      </c>
      <c r="L84" s="38">
        <v>14.3</v>
      </c>
    </row>
    <row r="85" spans="1:12" x14ac:dyDescent="0.3">
      <c r="A85" s="42">
        <v>83</v>
      </c>
      <c r="B85" s="32" t="s">
        <v>12</v>
      </c>
      <c r="C85" s="32" t="s">
        <v>193</v>
      </c>
      <c r="D85" s="39" t="s">
        <v>122</v>
      </c>
      <c r="E85" s="34" t="s">
        <v>229</v>
      </c>
      <c r="F85" s="34" t="s">
        <v>187</v>
      </c>
      <c r="G85" s="37">
        <v>46152</v>
      </c>
      <c r="H85" s="38">
        <v>19.3</v>
      </c>
      <c r="I85" s="34" t="s">
        <v>188</v>
      </c>
      <c r="J85" s="34">
        <v>210</v>
      </c>
      <c r="K85" s="37">
        <v>46155</v>
      </c>
      <c r="L85" s="38">
        <v>14.3</v>
      </c>
    </row>
    <row r="86" spans="1:12" x14ac:dyDescent="0.3">
      <c r="A86" s="42">
        <v>84</v>
      </c>
      <c r="B86" s="32" t="s">
        <v>64</v>
      </c>
      <c r="C86" s="32" t="s">
        <v>193</v>
      </c>
      <c r="D86" s="39" t="s">
        <v>122</v>
      </c>
      <c r="E86" s="34" t="s">
        <v>229</v>
      </c>
      <c r="F86" s="34" t="s">
        <v>187</v>
      </c>
      <c r="G86" s="37">
        <v>46152</v>
      </c>
      <c r="H86" s="38">
        <v>19.3</v>
      </c>
      <c r="I86" s="34" t="s">
        <v>188</v>
      </c>
      <c r="J86" s="34">
        <v>210</v>
      </c>
      <c r="K86" s="37">
        <v>46155</v>
      </c>
      <c r="L86" s="38">
        <v>14.3</v>
      </c>
    </row>
    <row r="87" spans="1:12" x14ac:dyDescent="0.3">
      <c r="A87" s="42">
        <v>85</v>
      </c>
      <c r="B87" s="32" t="s">
        <v>16</v>
      </c>
      <c r="C87" s="32" t="s">
        <v>236</v>
      </c>
      <c r="D87" s="39" t="s">
        <v>139</v>
      </c>
      <c r="E87" s="34" t="s">
        <v>263</v>
      </c>
      <c r="F87" s="34" t="s">
        <v>237</v>
      </c>
      <c r="G87" s="37">
        <v>46152</v>
      </c>
      <c r="H87" s="38">
        <v>9.3000000000000007</v>
      </c>
      <c r="I87" s="34" t="s">
        <v>221</v>
      </c>
      <c r="J87" s="34">
        <v>14</v>
      </c>
      <c r="K87" s="37">
        <v>46155</v>
      </c>
      <c r="L87" s="38">
        <v>14.3</v>
      </c>
    </row>
    <row r="88" spans="1:12" x14ac:dyDescent="0.3">
      <c r="A88" s="42">
        <v>86</v>
      </c>
      <c r="B88" s="32" t="s">
        <v>65</v>
      </c>
      <c r="C88" s="32" t="s">
        <v>236</v>
      </c>
      <c r="D88" s="39" t="s">
        <v>139</v>
      </c>
      <c r="E88" s="34" t="s">
        <v>263</v>
      </c>
      <c r="F88" s="34" t="s">
        <v>237</v>
      </c>
      <c r="G88" s="37">
        <v>46152</v>
      </c>
      <c r="H88" s="38">
        <v>9.3000000000000007</v>
      </c>
      <c r="I88" s="34" t="s">
        <v>221</v>
      </c>
      <c r="J88" s="34">
        <v>14</v>
      </c>
      <c r="K88" s="37">
        <v>46155</v>
      </c>
      <c r="L88" s="38">
        <v>14.3</v>
      </c>
    </row>
    <row r="89" spans="1:12" x14ac:dyDescent="0.3">
      <c r="A89" s="42">
        <v>87</v>
      </c>
      <c r="B89" s="32" t="s">
        <v>27</v>
      </c>
      <c r="C89" s="32" t="s">
        <v>238</v>
      </c>
      <c r="D89" s="39" t="s">
        <v>122</v>
      </c>
      <c r="E89" s="34" t="s">
        <v>217</v>
      </c>
      <c r="F89" s="34" t="s">
        <v>187</v>
      </c>
      <c r="G89" s="37">
        <v>46152</v>
      </c>
      <c r="H89" s="38">
        <v>19.3</v>
      </c>
      <c r="I89" s="34" t="s">
        <v>221</v>
      </c>
      <c r="J89" s="34">
        <v>15</v>
      </c>
      <c r="K89" s="37">
        <v>46155</v>
      </c>
      <c r="L89" s="38">
        <v>14.3</v>
      </c>
    </row>
    <row r="90" spans="1:12" x14ac:dyDescent="0.3">
      <c r="A90" s="42">
        <v>88</v>
      </c>
      <c r="B90" s="32" t="s">
        <v>66</v>
      </c>
      <c r="C90" s="32" t="s">
        <v>238</v>
      </c>
      <c r="D90" s="39" t="s">
        <v>122</v>
      </c>
      <c r="E90" s="34" t="s">
        <v>217</v>
      </c>
      <c r="F90" s="34" t="s">
        <v>187</v>
      </c>
      <c r="G90" s="37">
        <v>46152</v>
      </c>
      <c r="H90" s="38">
        <v>19.3</v>
      </c>
      <c r="I90" s="34" t="s">
        <v>221</v>
      </c>
      <c r="J90" s="34">
        <v>15</v>
      </c>
      <c r="K90" s="37">
        <v>46155</v>
      </c>
      <c r="L90" s="38">
        <v>14.3</v>
      </c>
    </row>
    <row r="91" spans="1:12" x14ac:dyDescent="0.3">
      <c r="A91" s="42">
        <v>89</v>
      </c>
      <c r="B91" s="32" t="s">
        <v>67</v>
      </c>
      <c r="C91" s="32" t="s">
        <v>239</v>
      </c>
      <c r="D91" s="39" t="s">
        <v>119</v>
      </c>
      <c r="E91" s="34" t="s">
        <v>240</v>
      </c>
      <c r="F91" s="34" t="s">
        <v>115</v>
      </c>
      <c r="G91" s="37">
        <v>46152</v>
      </c>
      <c r="H91" s="38">
        <v>19.3</v>
      </c>
      <c r="I91" s="34" t="s">
        <v>221</v>
      </c>
      <c r="J91" s="34">
        <v>21</v>
      </c>
      <c r="K91" s="37">
        <v>46155</v>
      </c>
      <c r="L91" s="38">
        <v>14.3</v>
      </c>
    </row>
    <row r="92" spans="1:12" x14ac:dyDescent="0.3">
      <c r="A92" s="42">
        <v>90</v>
      </c>
      <c r="B92" s="32" t="s">
        <v>272</v>
      </c>
      <c r="C92" s="32" t="s">
        <v>239</v>
      </c>
      <c r="D92" s="39" t="s">
        <v>119</v>
      </c>
      <c r="E92" s="34" t="s">
        <v>240</v>
      </c>
      <c r="F92" s="34" t="s">
        <v>115</v>
      </c>
      <c r="G92" s="37">
        <v>46152</v>
      </c>
      <c r="H92" s="38">
        <v>19.3</v>
      </c>
      <c r="I92" s="34" t="s">
        <v>221</v>
      </c>
      <c r="J92" s="34">
        <v>21</v>
      </c>
      <c r="K92" s="37">
        <v>46155</v>
      </c>
      <c r="L92" s="38">
        <v>14.3</v>
      </c>
    </row>
    <row r="93" spans="1:12" x14ac:dyDescent="0.3">
      <c r="A93" s="42">
        <v>91</v>
      </c>
      <c r="B93" s="32" t="s">
        <v>111</v>
      </c>
      <c r="C93" s="32" t="s">
        <v>239</v>
      </c>
      <c r="D93" s="39" t="s">
        <v>119</v>
      </c>
      <c r="E93" s="34" t="s">
        <v>240</v>
      </c>
      <c r="F93" s="34" t="s">
        <v>115</v>
      </c>
      <c r="G93" s="37">
        <v>46152</v>
      </c>
      <c r="H93" s="38">
        <v>19.3</v>
      </c>
      <c r="I93" s="34" t="s">
        <v>221</v>
      </c>
      <c r="J93" s="34">
        <v>21</v>
      </c>
      <c r="K93" s="37">
        <v>46155</v>
      </c>
      <c r="L93" s="38">
        <v>14.3</v>
      </c>
    </row>
    <row r="94" spans="1:12" x14ac:dyDescent="0.3">
      <c r="A94" s="42">
        <v>92</v>
      </c>
      <c r="B94" s="32" t="s">
        <v>68</v>
      </c>
      <c r="C94" s="32" t="s">
        <v>241</v>
      </c>
      <c r="D94" s="39" t="s">
        <v>122</v>
      </c>
      <c r="E94" s="34" t="s">
        <v>229</v>
      </c>
      <c r="F94" s="34" t="s">
        <v>187</v>
      </c>
      <c r="G94" s="37">
        <v>46152</v>
      </c>
      <c r="H94" s="38">
        <v>19.3</v>
      </c>
      <c r="I94" s="34" t="s">
        <v>188</v>
      </c>
      <c r="J94" s="34">
        <v>207</v>
      </c>
      <c r="K94" s="37">
        <v>46155</v>
      </c>
      <c r="L94" s="38">
        <v>14.3</v>
      </c>
    </row>
    <row r="95" spans="1:12" x14ac:dyDescent="0.3">
      <c r="A95" s="42">
        <v>93</v>
      </c>
      <c r="B95" s="32" t="s">
        <v>69</v>
      </c>
      <c r="C95" s="32" t="s">
        <v>241</v>
      </c>
      <c r="D95" s="39" t="s">
        <v>122</v>
      </c>
      <c r="E95" s="34" t="s">
        <v>229</v>
      </c>
      <c r="F95" s="34" t="s">
        <v>187</v>
      </c>
      <c r="G95" s="37">
        <v>46152</v>
      </c>
      <c r="H95" s="38">
        <v>19.3</v>
      </c>
      <c r="I95" s="34" t="s">
        <v>188</v>
      </c>
      <c r="J95" s="34">
        <v>207</v>
      </c>
      <c r="K95" s="37">
        <v>46155</v>
      </c>
      <c r="L95" s="38">
        <v>14.3</v>
      </c>
    </row>
    <row r="96" spans="1:12" x14ac:dyDescent="0.3">
      <c r="A96" s="42">
        <v>94</v>
      </c>
      <c r="B96" s="32" t="s">
        <v>70</v>
      </c>
      <c r="C96" s="32" t="s">
        <v>242</v>
      </c>
      <c r="D96" s="39" t="s">
        <v>213</v>
      </c>
      <c r="E96" s="34" t="s">
        <v>262</v>
      </c>
      <c r="F96" s="34" t="s">
        <v>237</v>
      </c>
      <c r="G96" s="37">
        <v>46152</v>
      </c>
      <c r="H96" s="38">
        <v>14</v>
      </c>
      <c r="I96" s="39" t="s">
        <v>221</v>
      </c>
      <c r="J96" s="39">
        <v>16</v>
      </c>
      <c r="K96" s="37">
        <v>46155</v>
      </c>
      <c r="L96" s="38">
        <v>14.3</v>
      </c>
    </row>
    <row r="97" spans="1:12" x14ac:dyDescent="0.3">
      <c r="A97" s="42">
        <v>95</v>
      </c>
      <c r="B97" s="32" t="s">
        <v>243</v>
      </c>
      <c r="C97" s="32" t="s">
        <v>242</v>
      </c>
      <c r="D97" s="39" t="s">
        <v>213</v>
      </c>
      <c r="E97" s="34" t="s">
        <v>262</v>
      </c>
      <c r="F97" s="34" t="s">
        <v>237</v>
      </c>
      <c r="G97" s="37">
        <v>46152</v>
      </c>
      <c r="H97" s="38">
        <v>14</v>
      </c>
      <c r="I97" s="39" t="s">
        <v>221</v>
      </c>
      <c r="J97" s="39">
        <v>16</v>
      </c>
      <c r="K97" s="37">
        <v>46155</v>
      </c>
      <c r="L97" s="38">
        <v>14.3</v>
      </c>
    </row>
    <row r="98" spans="1:12" x14ac:dyDescent="0.3">
      <c r="A98" s="42">
        <v>96</v>
      </c>
      <c r="B98" s="32" t="s">
        <v>71</v>
      </c>
      <c r="C98" s="32" t="s">
        <v>245</v>
      </c>
      <c r="D98" s="39" t="s">
        <v>122</v>
      </c>
      <c r="E98" s="34" t="s">
        <v>229</v>
      </c>
      <c r="F98" s="34" t="s">
        <v>187</v>
      </c>
      <c r="G98" s="37">
        <v>46152</v>
      </c>
      <c r="H98" s="38">
        <v>19.3</v>
      </c>
      <c r="I98" s="34" t="s">
        <v>221</v>
      </c>
      <c r="J98" s="34">
        <v>17</v>
      </c>
      <c r="K98" s="37">
        <v>46155</v>
      </c>
      <c r="L98" s="38">
        <v>14.3</v>
      </c>
    </row>
    <row r="99" spans="1:12" x14ac:dyDescent="0.3">
      <c r="A99" s="42">
        <v>97</v>
      </c>
      <c r="B99" s="32" t="s">
        <v>244</v>
      </c>
      <c r="C99" s="32" t="s">
        <v>245</v>
      </c>
      <c r="D99" s="39" t="s">
        <v>122</v>
      </c>
      <c r="E99" s="34" t="s">
        <v>229</v>
      </c>
      <c r="F99" s="34" t="s">
        <v>187</v>
      </c>
      <c r="G99" s="37">
        <v>46152</v>
      </c>
      <c r="H99" s="38">
        <v>19.3</v>
      </c>
      <c r="I99" s="34" t="s">
        <v>221</v>
      </c>
      <c r="J99" s="34">
        <v>17</v>
      </c>
      <c r="K99" s="37">
        <v>46155</v>
      </c>
      <c r="L99" s="38">
        <v>14.3</v>
      </c>
    </row>
    <row r="100" spans="1:12" x14ac:dyDescent="0.3">
      <c r="A100" s="42">
        <v>98</v>
      </c>
      <c r="B100" s="32" t="s">
        <v>268</v>
      </c>
      <c r="C100" s="32" t="s">
        <v>242</v>
      </c>
      <c r="D100" s="39" t="s">
        <v>213</v>
      </c>
      <c r="E100" s="34" t="s">
        <v>262</v>
      </c>
      <c r="F100" s="34" t="s">
        <v>237</v>
      </c>
      <c r="G100" s="37">
        <v>46152</v>
      </c>
      <c r="H100" s="38">
        <v>14</v>
      </c>
      <c r="I100" s="39" t="s">
        <v>221</v>
      </c>
      <c r="J100" s="39">
        <v>17</v>
      </c>
      <c r="K100" s="37">
        <v>46155</v>
      </c>
      <c r="L100" s="38">
        <v>14.3</v>
      </c>
    </row>
    <row r="101" spans="1:12" x14ac:dyDescent="0.3">
      <c r="A101" s="42">
        <v>99</v>
      </c>
      <c r="B101" s="32" t="s">
        <v>72</v>
      </c>
      <c r="C101" s="32" t="s">
        <v>246</v>
      </c>
      <c r="D101" s="39" t="s">
        <v>218</v>
      </c>
      <c r="E101" s="34" t="s">
        <v>260</v>
      </c>
      <c r="F101" s="34" t="s">
        <v>185</v>
      </c>
      <c r="G101" s="37">
        <v>46152</v>
      </c>
      <c r="H101" s="38">
        <v>19.3</v>
      </c>
      <c r="I101" s="34" t="s">
        <v>188</v>
      </c>
      <c r="J101" s="39">
        <v>208</v>
      </c>
      <c r="K101" s="37">
        <v>46155</v>
      </c>
      <c r="L101" s="38">
        <v>14.3</v>
      </c>
    </row>
    <row r="102" spans="1:12" x14ac:dyDescent="0.3">
      <c r="A102" s="42">
        <v>100</v>
      </c>
      <c r="B102" s="32" t="s">
        <v>15</v>
      </c>
      <c r="C102" s="32" t="s">
        <v>246</v>
      </c>
      <c r="D102" s="39" t="s">
        <v>218</v>
      </c>
      <c r="E102" s="34" t="s">
        <v>260</v>
      </c>
      <c r="F102" s="34" t="s">
        <v>185</v>
      </c>
      <c r="G102" s="37">
        <v>46152</v>
      </c>
      <c r="H102" s="38">
        <v>19.3</v>
      </c>
      <c r="I102" s="34" t="s">
        <v>188</v>
      </c>
      <c r="J102" s="39">
        <v>208</v>
      </c>
      <c r="K102" s="37">
        <v>46155</v>
      </c>
      <c r="L102" s="38">
        <v>14.3</v>
      </c>
    </row>
    <row r="103" spans="1:12" x14ac:dyDescent="0.3">
      <c r="A103" s="42">
        <v>101</v>
      </c>
      <c r="B103" s="32" t="s">
        <v>155</v>
      </c>
      <c r="C103" s="32" t="s">
        <v>246</v>
      </c>
      <c r="D103" s="39" t="s">
        <v>218</v>
      </c>
      <c r="E103" s="34" t="s">
        <v>260</v>
      </c>
      <c r="F103" s="34" t="s">
        <v>185</v>
      </c>
      <c r="G103" s="37">
        <v>46152</v>
      </c>
      <c r="H103" s="38">
        <v>19.3</v>
      </c>
      <c r="I103" s="34" t="s">
        <v>188</v>
      </c>
      <c r="J103" s="39">
        <v>213</v>
      </c>
      <c r="K103" s="37">
        <v>46155</v>
      </c>
      <c r="L103" s="38">
        <v>14.3</v>
      </c>
    </row>
    <row r="104" spans="1:12" x14ac:dyDescent="0.3">
      <c r="A104" s="42">
        <v>102</v>
      </c>
      <c r="B104" s="32" t="s">
        <v>156</v>
      </c>
      <c r="C104" s="32" t="s">
        <v>246</v>
      </c>
      <c r="D104" s="39" t="s">
        <v>218</v>
      </c>
      <c r="E104" s="34" t="s">
        <v>260</v>
      </c>
      <c r="F104" s="34" t="s">
        <v>185</v>
      </c>
      <c r="G104" s="37">
        <v>46152</v>
      </c>
      <c r="H104" s="38">
        <v>19.3</v>
      </c>
      <c r="I104" s="34" t="s">
        <v>188</v>
      </c>
      <c r="J104" s="39">
        <v>213</v>
      </c>
      <c r="K104" s="37">
        <v>46155</v>
      </c>
      <c r="L104" s="38">
        <v>14.3</v>
      </c>
    </row>
    <row r="105" spans="1:12" x14ac:dyDescent="0.3">
      <c r="A105" s="42">
        <v>103</v>
      </c>
      <c r="B105" s="32" t="s">
        <v>157</v>
      </c>
      <c r="C105" s="32" t="s">
        <v>246</v>
      </c>
      <c r="D105" s="39" t="s">
        <v>218</v>
      </c>
      <c r="E105" s="34" t="s">
        <v>260</v>
      </c>
      <c r="F105" s="34" t="s">
        <v>185</v>
      </c>
      <c r="G105" s="37">
        <v>46152</v>
      </c>
      <c r="H105" s="38">
        <v>19.3</v>
      </c>
      <c r="I105" s="34" t="s">
        <v>188</v>
      </c>
      <c r="J105" s="39">
        <v>213</v>
      </c>
      <c r="K105" s="37">
        <v>46155</v>
      </c>
      <c r="L105" s="38">
        <v>14.3</v>
      </c>
    </row>
    <row r="106" spans="1:12" x14ac:dyDescent="0.3">
      <c r="A106" s="42">
        <v>104</v>
      </c>
      <c r="B106" s="32" t="s">
        <v>158</v>
      </c>
      <c r="C106" s="32" t="s">
        <v>73</v>
      </c>
      <c r="D106" s="39" t="s">
        <v>213</v>
      </c>
      <c r="E106" s="34" t="s">
        <v>262</v>
      </c>
      <c r="F106" s="34" t="s">
        <v>83</v>
      </c>
      <c r="G106" s="37">
        <v>46152</v>
      </c>
      <c r="H106" s="38">
        <v>19.3</v>
      </c>
      <c r="I106" s="34" t="s">
        <v>221</v>
      </c>
      <c r="J106" s="34">
        <v>3</v>
      </c>
      <c r="K106" s="37">
        <v>46155</v>
      </c>
      <c r="L106" s="38">
        <v>14.3</v>
      </c>
    </row>
    <row r="107" spans="1:12" x14ac:dyDescent="0.3">
      <c r="A107" s="42">
        <v>105</v>
      </c>
      <c r="B107" s="32" t="s">
        <v>159</v>
      </c>
      <c r="C107" s="32" t="s">
        <v>73</v>
      </c>
      <c r="D107" s="39" t="s">
        <v>213</v>
      </c>
      <c r="E107" s="34" t="s">
        <v>262</v>
      </c>
      <c r="F107" s="34" t="s">
        <v>83</v>
      </c>
      <c r="G107" s="37">
        <v>46152</v>
      </c>
      <c r="H107" s="38">
        <v>19.3</v>
      </c>
      <c r="I107" s="34" t="s">
        <v>221</v>
      </c>
      <c r="J107" s="34">
        <v>3</v>
      </c>
      <c r="K107" s="37">
        <v>46155</v>
      </c>
      <c r="L107" s="38">
        <v>14.3</v>
      </c>
    </row>
    <row r="108" spans="1:12" x14ac:dyDescent="0.3">
      <c r="A108" s="42">
        <v>106</v>
      </c>
      <c r="B108" s="32" t="s">
        <v>160</v>
      </c>
      <c r="C108" s="32" t="s">
        <v>73</v>
      </c>
      <c r="D108" s="39" t="s">
        <v>213</v>
      </c>
      <c r="E108" s="34" t="s">
        <v>262</v>
      </c>
      <c r="F108" s="34" t="s">
        <v>83</v>
      </c>
      <c r="G108" s="37">
        <v>46152</v>
      </c>
      <c r="H108" s="38">
        <v>19.3</v>
      </c>
      <c r="I108" s="34" t="s">
        <v>221</v>
      </c>
      <c r="J108" s="34">
        <v>3</v>
      </c>
      <c r="K108" s="37">
        <v>46155</v>
      </c>
      <c r="L108" s="38">
        <v>14.3</v>
      </c>
    </row>
    <row r="109" spans="1:12" x14ac:dyDescent="0.3">
      <c r="A109" s="42">
        <v>107</v>
      </c>
      <c r="B109" s="32" t="s">
        <v>161</v>
      </c>
      <c r="C109" s="32" t="s">
        <v>73</v>
      </c>
      <c r="D109" s="39" t="s">
        <v>213</v>
      </c>
      <c r="E109" s="34" t="s">
        <v>262</v>
      </c>
      <c r="F109" s="34" t="s">
        <v>83</v>
      </c>
      <c r="G109" s="37">
        <v>46152</v>
      </c>
      <c r="H109" s="38">
        <v>19.3</v>
      </c>
      <c r="I109" s="34" t="s">
        <v>221</v>
      </c>
      <c r="J109" s="34">
        <v>5</v>
      </c>
      <c r="K109" s="37">
        <v>46155</v>
      </c>
      <c r="L109" s="38">
        <v>14.3</v>
      </c>
    </row>
    <row r="110" spans="1:12" x14ac:dyDescent="0.3">
      <c r="A110" s="42">
        <v>108</v>
      </c>
      <c r="B110" s="32" t="s">
        <v>162</v>
      </c>
      <c r="C110" s="32" t="s">
        <v>73</v>
      </c>
      <c r="D110" s="39" t="s">
        <v>213</v>
      </c>
      <c r="E110" s="34" t="s">
        <v>262</v>
      </c>
      <c r="F110" s="34" t="s">
        <v>83</v>
      </c>
      <c r="G110" s="37">
        <v>46152</v>
      </c>
      <c r="H110" s="38">
        <v>19.3</v>
      </c>
      <c r="I110" s="34" t="s">
        <v>221</v>
      </c>
      <c r="J110" s="34">
        <v>5</v>
      </c>
      <c r="K110" s="37">
        <v>46155</v>
      </c>
      <c r="L110" s="38">
        <v>14.3</v>
      </c>
    </row>
    <row r="111" spans="1:12" x14ac:dyDescent="0.3">
      <c r="A111" s="42">
        <v>109</v>
      </c>
      <c r="B111" s="32" t="s">
        <v>74</v>
      </c>
      <c r="C111" s="32" t="s">
        <v>247</v>
      </c>
      <c r="D111" s="39" t="s">
        <v>139</v>
      </c>
      <c r="E111" s="34" t="s">
        <v>263</v>
      </c>
      <c r="F111" s="34" t="s">
        <v>248</v>
      </c>
      <c r="G111" s="37">
        <v>46152</v>
      </c>
      <c r="H111" s="38">
        <v>17</v>
      </c>
      <c r="I111" s="34" t="s">
        <v>221</v>
      </c>
      <c r="J111" s="34">
        <v>18</v>
      </c>
      <c r="K111" s="37">
        <v>46155</v>
      </c>
      <c r="L111" s="38">
        <v>14.3</v>
      </c>
    </row>
    <row r="112" spans="1:12" x14ac:dyDescent="0.3">
      <c r="A112" s="42">
        <v>110</v>
      </c>
      <c r="B112" s="32" t="s">
        <v>5</v>
      </c>
      <c r="C112" s="32" t="s">
        <v>247</v>
      </c>
      <c r="D112" s="39" t="s">
        <v>139</v>
      </c>
      <c r="E112" s="34" t="s">
        <v>263</v>
      </c>
      <c r="F112" s="34" t="s">
        <v>248</v>
      </c>
      <c r="G112" s="37">
        <v>46152</v>
      </c>
      <c r="H112" s="38">
        <v>17</v>
      </c>
      <c r="I112" s="34" t="s">
        <v>221</v>
      </c>
      <c r="J112" s="34">
        <v>18</v>
      </c>
      <c r="K112" s="37">
        <v>46155</v>
      </c>
      <c r="L112" s="38">
        <v>14.3</v>
      </c>
    </row>
    <row r="113" spans="1:12" x14ac:dyDescent="0.3">
      <c r="A113" s="42">
        <v>111</v>
      </c>
      <c r="B113" s="32" t="s">
        <v>75</v>
      </c>
      <c r="C113" s="32" t="s">
        <v>249</v>
      </c>
      <c r="D113" s="39" t="s">
        <v>218</v>
      </c>
      <c r="E113" s="34" t="s">
        <v>256</v>
      </c>
      <c r="F113" s="34" t="s">
        <v>187</v>
      </c>
      <c r="G113" s="37">
        <v>46152</v>
      </c>
      <c r="H113" s="38">
        <v>17</v>
      </c>
      <c r="I113" s="34" t="s">
        <v>269</v>
      </c>
      <c r="J113" s="34" t="s">
        <v>270</v>
      </c>
      <c r="K113" s="37">
        <v>46155</v>
      </c>
      <c r="L113" s="38">
        <v>14.3</v>
      </c>
    </row>
    <row r="114" spans="1:12" x14ac:dyDescent="0.3">
      <c r="A114" s="42">
        <v>112</v>
      </c>
      <c r="B114" s="32" t="s">
        <v>163</v>
      </c>
      <c r="C114" s="32" t="s">
        <v>249</v>
      </c>
      <c r="D114" s="39" t="s">
        <v>218</v>
      </c>
      <c r="E114" s="34" t="s">
        <v>256</v>
      </c>
      <c r="F114" s="34" t="s">
        <v>187</v>
      </c>
      <c r="G114" s="37">
        <v>46152</v>
      </c>
      <c r="H114" s="38">
        <v>17</v>
      </c>
      <c r="I114" s="34" t="s">
        <v>269</v>
      </c>
      <c r="J114" s="34" t="s">
        <v>270</v>
      </c>
      <c r="K114" s="37">
        <v>46155</v>
      </c>
      <c r="L114" s="38">
        <v>14.3</v>
      </c>
    </row>
    <row r="115" spans="1:12" ht="28.8" x14ac:dyDescent="0.3">
      <c r="A115" s="42">
        <v>113</v>
      </c>
      <c r="B115" s="32" t="s">
        <v>76</v>
      </c>
      <c r="C115" s="32" t="s">
        <v>250</v>
      </c>
      <c r="D115" s="39" t="s">
        <v>218</v>
      </c>
      <c r="E115" s="34" t="s">
        <v>252</v>
      </c>
      <c r="F115" s="34" t="s">
        <v>251</v>
      </c>
      <c r="G115" s="37">
        <v>46152</v>
      </c>
      <c r="H115" s="38">
        <v>17</v>
      </c>
      <c r="I115" s="34" t="s">
        <v>188</v>
      </c>
      <c r="J115" s="34">
        <v>211</v>
      </c>
      <c r="K115" s="37">
        <v>46155</v>
      </c>
      <c r="L115" s="38">
        <v>14.3</v>
      </c>
    </row>
    <row r="116" spans="1:12" ht="28.8" x14ac:dyDescent="0.3">
      <c r="A116" s="42">
        <v>114</v>
      </c>
      <c r="B116" s="32" t="s">
        <v>0</v>
      </c>
      <c r="C116" s="32" t="s">
        <v>250</v>
      </c>
      <c r="D116" s="39" t="s">
        <v>218</v>
      </c>
      <c r="E116" s="34" t="s">
        <v>252</v>
      </c>
      <c r="F116" s="34" t="s">
        <v>251</v>
      </c>
      <c r="G116" s="37">
        <v>46152</v>
      </c>
      <c r="H116" s="38">
        <v>17</v>
      </c>
      <c r="I116" s="34" t="s">
        <v>188</v>
      </c>
      <c r="J116" s="34">
        <v>211</v>
      </c>
      <c r="K116" s="37">
        <v>46155</v>
      </c>
      <c r="L116" s="38">
        <v>14.3</v>
      </c>
    </row>
    <row r="117" spans="1:12" ht="28.8" x14ac:dyDescent="0.3">
      <c r="A117" s="42">
        <v>115</v>
      </c>
      <c r="B117" s="32" t="s">
        <v>164</v>
      </c>
      <c r="C117" s="32" t="s">
        <v>250</v>
      </c>
      <c r="D117" s="39" t="s">
        <v>218</v>
      </c>
      <c r="E117" s="34" t="s">
        <v>252</v>
      </c>
      <c r="F117" s="34" t="s">
        <v>251</v>
      </c>
      <c r="G117" s="37">
        <v>46152</v>
      </c>
      <c r="H117" s="38">
        <v>17</v>
      </c>
      <c r="I117" s="34" t="s">
        <v>188</v>
      </c>
      <c r="J117" s="34">
        <v>211</v>
      </c>
      <c r="K117" s="37">
        <v>46155</v>
      </c>
      <c r="L117" s="38">
        <v>14.3</v>
      </c>
    </row>
    <row r="118" spans="1:12" ht="28.8" x14ac:dyDescent="0.3">
      <c r="A118" s="42">
        <v>116</v>
      </c>
      <c r="B118" s="32" t="s">
        <v>31</v>
      </c>
      <c r="C118" s="32" t="s">
        <v>250</v>
      </c>
      <c r="D118" s="39" t="s">
        <v>218</v>
      </c>
      <c r="E118" s="34" t="s">
        <v>252</v>
      </c>
      <c r="F118" s="34" t="s">
        <v>251</v>
      </c>
      <c r="G118" s="37">
        <v>46152</v>
      </c>
      <c r="H118" s="38">
        <v>17</v>
      </c>
      <c r="I118" s="34" t="s">
        <v>188</v>
      </c>
      <c r="J118" s="34">
        <v>212</v>
      </c>
      <c r="K118" s="37">
        <v>46155</v>
      </c>
      <c r="L118" s="38">
        <v>14.3</v>
      </c>
    </row>
    <row r="119" spans="1:12" ht="28.8" x14ac:dyDescent="0.3">
      <c r="A119" s="42">
        <v>117</v>
      </c>
      <c r="B119" s="32" t="s">
        <v>77</v>
      </c>
      <c r="C119" s="32" t="s">
        <v>250</v>
      </c>
      <c r="D119" s="39" t="s">
        <v>218</v>
      </c>
      <c r="E119" s="34" t="s">
        <v>252</v>
      </c>
      <c r="F119" s="34" t="s">
        <v>251</v>
      </c>
      <c r="G119" s="37">
        <v>46152</v>
      </c>
      <c r="H119" s="38">
        <v>17</v>
      </c>
      <c r="I119" s="34" t="s">
        <v>188</v>
      </c>
      <c r="J119" s="34">
        <v>212</v>
      </c>
      <c r="K119" s="37">
        <v>46155</v>
      </c>
      <c r="L119" s="38">
        <v>14.3</v>
      </c>
    </row>
    <row r="120" spans="1:12" ht="28.8" x14ac:dyDescent="0.3">
      <c r="A120" s="42">
        <v>118</v>
      </c>
      <c r="B120" s="32" t="s">
        <v>39</v>
      </c>
      <c r="C120" s="32" t="s">
        <v>250</v>
      </c>
      <c r="D120" s="39" t="s">
        <v>218</v>
      </c>
      <c r="E120" s="34" t="s">
        <v>252</v>
      </c>
      <c r="F120" s="34" t="s">
        <v>251</v>
      </c>
      <c r="G120" s="37">
        <v>46152</v>
      </c>
      <c r="H120" s="38">
        <v>17</v>
      </c>
      <c r="I120" s="34" t="s">
        <v>188</v>
      </c>
      <c r="J120" s="34">
        <v>212</v>
      </c>
      <c r="K120" s="37">
        <v>46155</v>
      </c>
      <c r="L120" s="38">
        <v>14.3</v>
      </c>
    </row>
    <row r="121" spans="1:12" x14ac:dyDescent="0.3">
      <c r="A121" s="42">
        <v>119</v>
      </c>
      <c r="B121" s="32" t="s">
        <v>165</v>
      </c>
      <c r="C121" s="32" t="s">
        <v>253</v>
      </c>
      <c r="D121" s="39" t="s">
        <v>139</v>
      </c>
      <c r="E121" s="39" t="s">
        <v>228</v>
      </c>
      <c r="F121" s="39" t="s">
        <v>115</v>
      </c>
      <c r="G121" s="37">
        <v>46153</v>
      </c>
      <c r="H121" s="38">
        <v>9.3000000000000007</v>
      </c>
      <c r="I121" s="34" t="s">
        <v>221</v>
      </c>
      <c r="J121" s="39">
        <v>19</v>
      </c>
      <c r="K121" s="37">
        <v>46154</v>
      </c>
      <c r="L121" s="38">
        <v>23.3</v>
      </c>
    </row>
    <row r="122" spans="1:12" x14ac:dyDescent="0.3">
      <c r="A122" s="42">
        <v>120</v>
      </c>
      <c r="B122" s="32" t="s">
        <v>166</v>
      </c>
      <c r="C122" s="32" t="s">
        <v>253</v>
      </c>
      <c r="D122" s="39" t="s">
        <v>139</v>
      </c>
      <c r="E122" s="39" t="s">
        <v>228</v>
      </c>
      <c r="F122" s="39" t="s">
        <v>115</v>
      </c>
      <c r="G122" s="37">
        <v>46153</v>
      </c>
      <c r="H122" s="38">
        <v>9.3000000000000007</v>
      </c>
      <c r="I122" s="34" t="s">
        <v>221</v>
      </c>
      <c r="J122" s="39">
        <v>19</v>
      </c>
      <c r="K122" s="37">
        <v>46154</v>
      </c>
      <c r="L122" s="38">
        <v>23.3</v>
      </c>
    </row>
    <row r="123" spans="1:12" x14ac:dyDescent="0.3">
      <c r="A123" s="43">
        <v>123</v>
      </c>
      <c r="B123" s="32" t="s">
        <v>254</v>
      </c>
      <c r="C123" s="32" t="s">
        <v>266</v>
      </c>
      <c r="D123" s="39" t="s">
        <v>119</v>
      </c>
      <c r="E123" s="34" t="s">
        <v>240</v>
      </c>
      <c r="F123" s="34" t="s">
        <v>115</v>
      </c>
      <c r="G123" s="37">
        <v>46152</v>
      </c>
      <c r="H123" s="38">
        <v>19.3</v>
      </c>
      <c r="I123" s="34" t="s">
        <v>221</v>
      </c>
      <c r="J123" s="34">
        <v>22</v>
      </c>
      <c r="K123" s="37">
        <v>46155</v>
      </c>
      <c r="L123" s="38">
        <v>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6E01-C21B-4870-B59B-6F063C107843}">
  <dimension ref="A1:P57"/>
  <sheetViews>
    <sheetView topLeftCell="A2" workbookViewId="0">
      <selection activeCell="D129" sqref="D129"/>
    </sheetView>
  </sheetViews>
  <sheetFormatPr defaultColWidth="8.77734375" defaultRowHeight="14.4" x14ac:dyDescent="0.3"/>
  <cols>
    <col min="1" max="1" width="22.21875" style="2" customWidth="1"/>
    <col min="2" max="2" width="10.6640625" style="1" customWidth="1"/>
    <col min="3" max="4" width="10.77734375" style="1" customWidth="1"/>
    <col min="5" max="5" width="13.88671875" style="2" customWidth="1"/>
    <col min="6" max="6" width="11.6640625" style="2" customWidth="1"/>
    <col min="7" max="7" width="8.77734375" style="1"/>
    <col min="8" max="9" width="11.21875" style="1" customWidth="1"/>
    <col min="10" max="10" width="8.77734375" style="1"/>
    <col min="11" max="13" width="8.77734375" style="2"/>
    <col min="14" max="14" width="11" style="2" customWidth="1"/>
    <col min="15" max="15" width="8.77734375" style="2"/>
    <col min="16" max="16" width="10.77734375" style="2" customWidth="1"/>
    <col min="17" max="16384" width="8.77734375" style="2"/>
  </cols>
  <sheetData>
    <row r="1" spans="1:16" ht="21" x14ac:dyDescent="0.3">
      <c r="A1" s="84" t="s">
        <v>133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6" s="3" customFormat="1" ht="57.45" customHeight="1" x14ac:dyDescent="0.3">
      <c r="A2" s="16" t="s">
        <v>81</v>
      </c>
      <c r="B2" s="16" t="s">
        <v>82</v>
      </c>
      <c r="C2" s="16" t="s">
        <v>141</v>
      </c>
      <c r="D2" s="16" t="s">
        <v>118</v>
      </c>
      <c r="E2" s="16" t="s">
        <v>123</v>
      </c>
      <c r="F2" s="17" t="s">
        <v>114</v>
      </c>
      <c r="G2" s="17" t="s">
        <v>120</v>
      </c>
      <c r="H2" s="17" t="s">
        <v>125</v>
      </c>
      <c r="I2" s="17" t="s">
        <v>127</v>
      </c>
      <c r="J2" s="17" t="s">
        <v>126</v>
      </c>
      <c r="K2" s="17" t="s">
        <v>130</v>
      </c>
      <c r="L2" s="17" t="s">
        <v>128</v>
      </c>
      <c r="M2" s="17" t="s">
        <v>129</v>
      </c>
      <c r="N2" s="17" t="s">
        <v>131</v>
      </c>
      <c r="O2" s="17" t="s">
        <v>132</v>
      </c>
      <c r="P2" s="18" t="s">
        <v>110</v>
      </c>
    </row>
    <row r="3" spans="1:16" ht="14.55" customHeight="1" x14ac:dyDescent="0.3">
      <c r="A3" s="19" t="s">
        <v>97</v>
      </c>
      <c r="B3" s="85" t="s">
        <v>194</v>
      </c>
      <c r="C3" s="85" t="s">
        <v>198</v>
      </c>
      <c r="D3" s="88">
        <v>1</v>
      </c>
      <c r="E3" s="91" t="s">
        <v>119</v>
      </c>
      <c r="F3" s="88" t="s">
        <v>115</v>
      </c>
      <c r="G3" s="91">
        <v>14</v>
      </c>
      <c r="H3" s="91">
        <v>6</v>
      </c>
      <c r="I3" s="91">
        <f>300*13*6</f>
        <v>23400</v>
      </c>
      <c r="J3" s="91">
        <v>1000</v>
      </c>
      <c r="K3" s="91">
        <v>0</v>
      </c>
      <c r="L3" s="91">
        <v>0</v>
      </c>
      <c r="M3" s="91">
        <f>SUM(I3:L6)</f>
        <v>24400</v>
      </c>
      <c r="N3" s="91">
        <f>300*6</f>
        <v>1800</v>
      </c>
      <c r="O3" s="94">
        <v>900</v>
      </c>
      <c r="P3" s="102" t="s">
        <v>209</v>
      </c>
    </row>
    <row r="4" spans="1:16" x14ac:dyDescent="0.3">
      <c r="A4" s="19" t="s">
        <v>108</v>
      </c>
      <c r="B4" s="86"/>
      <c r="C4" s="86"/>
      <c r="D4" s="89"/>
      <c r="E4" s="92"/>
      <c r="F4" s="89"/>
      <c r="G4" s="92"/>
      <c r="H4" s="92"/>
      <c r="I4" s="92"/>
      <c r="J4" s="92"/>
      <c r="K4" s="92"/>
      <c r="L4" s="92"/>
      <c r="M4" s="92"/>
      <c r="N4" s="92"/>
      <c r="O4" s="95"/>
      <c r="P4" s="103"/>
    </row>
    <row r="5" spans="1:16" x14ac:dyDescent="0.3">
      <c r="A5" s="19" t="s">
        <v>109</v>
      </c>
      <c r="B5" s="86"/>
      <c r="C5" s="86"/>
      <c r="D5" s="89"/>
      <c r="E5" s="92"/>
      <c r="F5" s="89"/>
      <c r="G5" s="92"/>
      <c r="H5" s="92"/>
      <c r="I5" s="92"/>
      <c r="J5" s="92"/>
      <c r="K5" s="92"/>
      <c r="L5" s="92"/>
      <c r="M5" s="92"/>
      <c r="N5" s="92"/>
      <c r="O5" s="95"/>
      <c r="P5" s="103">
        <v>600</v>
      </c>
    </row>
    <row r="6" spans="1:16" x14ac:dyDescent="0.3">
      <c r="A6" s="19" t="s">
        <v>84</v>
      </c>
      <c r="B6" s="87"/>
      <c r="C6" s="87"/>
      <c r="D6" s="90"/>
      <c r="E6" s="93"/>
      <c r="F6" s="90"/>
      <c r="G6" s="93"/>
      <c r="H6" s="93"/>
      <c r="I6" s="93"/>
      <c r="J6" s="93"/>
      <c r="K6" s="93"/>
      <c r="L6" s="93"/>
      <c r="M6" s="93"/>
      <c r="N6" s="93"/>
      <c r="O6" s="96"/>
      <c r="P6" s="104"/>
    </row>
    <row r="7" spans="1:16" ht="15" customHeight="1" thickBot="1" x14ac:dyDescent="0.35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</row>
    <row r="8" spans="1:16" ht="14.55" customHeight="1" x14ac:dyDescent="0.3">
      <c r="A8" s="7" t="s">
        <v>138</v>
      </c>
      <c r="B8" s="98" t="s">
        <v>195</v>
      </c>
      <c r="C8" s="98" t="s">
        <v>199</v>
      </c>
      <c r="D8" s="97">
        <v>2</v>
      </c>
      <c r="E8" s="100" t="s">
        <v>196</v>
      </c>
      <c r="F8" s="97" t="s">
        <v>187</v>
      </c>
      <c r="G8" s="97">
        <v>0</v>
      </c>
      <c r="H8" s="97">
        <v>4</v>
      </c>
      <c r="I8" s="97">
        <v>0</v>
      </c>
      <c r="J8" s="97">
        <v>0</v>
      </c>
      <c r="K8" s="97">
        <v>0</v>
      </c>
      <c r="L8" s="97">
        <v>0</v>
      </c>
      <c r="M8" s="97">
        <v>0</v>
      </c>
      <c r="N8" s="97">
        <v>0</v>
      </c>
      <c r="O8" s="97"/>
      <c r="P8" s="97"/>
    </row>
    <row r="9" spans="1:16" x14ac:dyDescent="0.3">
      <c r="A9" s="8" t="s">
        <v>25</v>
      </c>
      <c r="B9" s="99"/>
      <c r="C9" s="99"/>
      <c r="D9" s="97"/>
      <c r="E9" s="100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</row>
    <row r="10" spans="1:16" x14ac:dyDescent="0.3">
      <c r="A10" s="8" t="s">
        <v>21</v>
      </c>
      <c r="B10" s="99"/>
      <c r="C10" s="99" t="s">
        <v>104</v>
      </c>
      <c r="D10" s="97"/>
      <c r="E10" s="100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</row>
    <row r="11" spans="1:16" x14ac:dyDescent="0.3">
      <c r="A11" s="8" t="s">
        <v>45</v>
      </c>
      <c r="B11" s="99"/>
      <c r="C11" s="99"/>
      <c r="D11" s="97"/>
      <c r="E11" s="100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</row>
    <row r="12" spans="1:16" x14ac:dyDescent="0.3">
      <c r="A12" s="9"/>
      <c r="B12" s="4"/>
      <c r="C12" s="11"/>
      <c r="D12" s="11"/>
      <c r="E12" s="12"/>
      <c r="F12" s="13"/>
      <c r="K12" s="1"/>
      <c r="L12" s="1"/>
      <c r="M12" s="1"/>
      <c r="N12" s="1"/>
      <c r="O12" s="10"/>
    </row>
    <row r="13" spans="1:16" ht="14.55" customHeight="1" x14ac:dyDescent="0.3">
      <c r="A13" s="5" t="s">
        <v>134</v>
      </c>
      <c r="B13" s="111" t="s">
        <v>205</v>
      </c>
      <c r="C13" s="111" t="s">
        <v>200</v>
      </c>
      <c r="D13" s="112">
        <v>3</v>
      </c>
      <c r="E13" s="112" t="s">
        <v>122</v>
      </c>
      <c r="F13" s="112" t="s">
        <v>115</v>
      </c>
      <c r="G13" s="112">
        <v>32</v>
      </c>
      <c r="H13" s="112">
        <v>4</v>
      </c>
      <c r="I13" s="112">
        <v>32000</v>
      </c>
      <c r="J13" s="112">
        <v>1000</v>
      </c>
      <c r="K13" s="112">
        <v>1200</v>
      </c>
      <c r="L13" s="112">
        <v>2000</v>
      </c>
      <c r="M13" s="112">
        <f>I13+J13+K13+L13</f>
        <v>36200</v>
      </c>
      <c r="N13" s="112">
        <v>1000</v>
      </c>
      <c r="O13" s="112">
        <v>1000</v>
      </c>
      <c r="P13" s="111" t="s">
        <v>206</v>
      </c>
    </row>
    <row r="14" spans="1:16" x14ac:dyDescent="0.3">
      <c r="A14" s="5" t="s">
        <v>1</v>
      </c>
      <c r="B14" s="111"/>
      <c r="C14" s="111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1"/>
    </row>
    <row r="15" spans="1:16" x14ac:dyDescent="0.3">
      <c r="A15" s="5" t="s">
        <v>135</v>
      </c>
      <c r="B15" s="111"/>
      <c r="C15" s="111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1"/>
    </row>
    <row r="16" spans="1:16" x14ac:dyDescent="0.3">
      <c r="A16" s="5" t="s">
        <v>55</v>
      </c>
      <c r="B16" s="111"/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1"/>
    </row>
    <row r="17" spans="1:16" x14ac:dyDescent="0.3">
      <c r="A17" s="5" t="s">
        <v>32</v>
      </c>
      <c r="B17" s="111"/>
      <c r="C17" s="111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1"/>
    </row>
    <row r="18" spans="1:16" x14ac:dyDescent="0.3">
      <c r="A18" s="5" t="s">
        <v>136</v>
      </c>
      <c r="B18" s="111"/>
      <c r="C18" s="111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1"/>
    </row>
    <row r="19" spans="1:16" x14ac:dyDescent="0.3">
      <c r="A19" s="5" t="s">
        <v>40</v>
      </c>
      <c r="B19" s="111"/>
      <c r="C19" s="111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1"/>
    </row>
    <row r="20" spans="1:16" x14ac:dyDescent="0.3">
      <c r="A20" s="5" t="s">
        <v>19</v>
      </c>
      <c r="B20" s="111"/>
      <c r="C20" s="111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1"/>
    </row>
    <row r="21" spans="1:16" x14ac:dyDescent="0.3">
      <c r="A21" s="5" t="s">
        <v>44</v>
      </c>
      <c r="B21" s="111"/>
      <c r="C21" s="111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1"/>
    </row>
    <row r="22" spans="1:16" x14ac:dyDescent="0.3">
      <c r="A22" s="5" t="s">
        <v>137</v>
      </c>
      <c r="B22" s="111"/>
      <c r="C22" s="111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1"/>
    </row>
    <row r="23" spans="1:16" x14ac:dyDescent="0.3">
      <c r="A23" s="6"/>
      <c r="B23" s="4"/>
      <c r="C23" s="4"/>
      <c r="D23" s="4"/>
    </row>
    <row r="24" spans="1:16" x14ac:dyDescent="0.3">
      <c r="A24" s="21" t="s">
        <v>86</v>
      </c>
      <c r="B24" s="110" t="s">
        <v>197</v>
      </c>
      <c r="C24" s="110" t="s">
        <v>199</v>
      </c>
      <c r="D24" s="105">
        <v>4</v>
      </c>
      <c r="E24" s="105" t="s">
        <v>121</v>
      </c>
      <c r="F24" s="105" t="s">
        <v>193</v>
      </c>
      <c r="G24" s="105">
        <v>32</v>
      </c>
      <c r="H24" s="105">
        <v>4</v>
      </c>
      <c r="I24" s="105">
        <f>250*32*4</f>
        <v>32000</v>
      </c>
      <c r="J24" s="105">
        <v>1000</v>
      </c>
      <c r="K24" s="105">
        <v>1200</v>
      </c>
      <c r="L24" s="105">
        <v>2000</v>
      </c>
      <c r="M24" s="105">
        <f>I24+J24+K24+L24</f>
        <v>36200</v>
      </c>
      <c r="N24" s="105">
        <v>1000</v>
      </c>
      <c r="O24" s="105">
        <v>1000</v>
      </c>
      <c r="P24" s="110" t="s">
        <v>207</v>
      </c>
    </row>
    <row r="25" spans="1:16" x14ac:dyDescent="0.3">
      <c r="A25" s="21" t="s">
        <v>87</v>
      </c>
      <c r="B25" s="110"/>
      <c r="C25" s="110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10"/>
    </row>
    <row r="26" spans="1:16" x14ac:dyDescent="0.3">
      <c r="A26" s="21" t="s">
        <v>142</v>
      </c>
      <c r="B26" s="110"/>
      <c r="C26" s="110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10"/>
    </row>
    <row r="27" spans="1:16" x14ac:dyDescent="0.3">
      <c r="A27" s="21" t="s">
        <v>62</v>
      </c>
      <c r="B27" s="110"/>
      <c r="C27" s="110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10"/>
    </row>
    <row r="28" spans="1:16" x14ac:dyDescent="0.3">
      <c r="A28" s="22" t="s">
        <v>116</v>
      </c>
      <c r="B28" s="110"/>
      <c r="C28" s="110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10"/>
    </row>
    <row r="29" spans="1:16" x14ac:dyDescent="0.3">
      <c r="A29" s="22" t="s">
        <v>36</v>
      </c>
      <c r="B29" s="110"/>
      <c r="C29" s="110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10"/>
    </row>
    <row r="30" spans="1:16" x14ac:dyDescent="0.3">
      <c r="A30" s="22" t="s">
        <v>117</v>
      </c>
      <c r="B30" s="110"/>
      <c r="C30" s="110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10"/>
    </row>
    <row r="31" spans="1:16" x14ac:dyDescent="0.3">
      <c r="A31" s="22" t="s">
        <v>88</v>
      </c>
      <c r="B31" s="110"/>
      <c r="C31" s="110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10"/>
    </row>
    <row r="32" spans="1:16" x14ac:dyDescent="0.3">
      <c r="A32" s="22" t="s">
        <v>89</v>
      </c>
      <c r="B32" s="110"/>
      <c r="C32" s="110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10"/>
    </row>
    <row r="33" spans="1:16" x14ac:dyDescent="0.3">
      <c r="A33" s="22" t="s">
        <v>102</v>
      </c>
      <c r="B33" s="110"/>
      <c r="C33" s="110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10"/>
    </row>
    <row r="34" spans="1:16" x14ac:dyDescent="0.3">
      <c r="A34" s="22" t="s">
        <v>103</v>
      </c>
      <c r="B34" s="110"/>
      <c r="C34" s="110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10"/>
    </row>
    <row r="35" spans="1:16" x14ac:dyDescent="0.3">
      <c r="A35" s="22" t="s">
        <v>99</v>
      </c>
      <c r="B35" s="110"/>
      <c r="C35" s="110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10"/>
    </row>
    <row r="36" spans="1:16" x14ac:dyDescent="0.3">
      <c r="A36" s="22" t="s">
        <v>100</v>
      </c>
      <c r="B36" s="110"/>
      <c r="C36" s="110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10"/>
    </row>
    <row r="37" spans="1:16" x14ac:dyDescent="0.3">
      <c r="A37" s="14"/>
      <c r="B37" s="4"/>
      <c r="C37" s="4"/>
      <c r="D37" s="4"/>
      <c r="E37" s="4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6" x14ac:dyDescent="0.3">
      <c r="A38" s="23" t="s">
        <v>105</v>
      </c>
      <c r="B38" s="106" t="s">
        <v>201</v>
      </c>
      <c r="C38" s="106" t="s">
        <v>200</v>
      </c>
      <c r="D38" s="108">
        <v>5</v>
      </c>
      <c r="E38" s="108" t="s">
        <v>121</v>
      </c>
      <c r="F38" s="108" t="s">
        <v>124</v>
      </c>
      <c r="G38" s="108">
        <v>32</v>
      </c>
      <c r="H38" s="108">
        <v>4</v>
      </c>
      <c r="I38" s="108">
        <f>250*32*4</f>
        <v>32000</v>
      </c>
      <c r="J38" s="108">
        <v>1000</v>
      </c>
      <c r="K38" s="108">
        <v>1200</v>
      </c>
      <c r="L38" s="108">
        <v>2000</v>
      </c>
      <c r="M38" s="108">
        <f>I38+J38+K38+L38</f>
        <v>36200</v>
      </c>
      <c r="N38" s="108">
        <v>1000</v>
      </c>
      <c r="O38" s="108">
        <v>550</v>
      </c>
      <c r="P38" s="106" t="s">
        <v>208</v>
      </c>
    </row>
    <row r="39" spans="1:16" x14ac:dyDescent="0.3">
      <c r="A39" s="23" t="s">
        <v>92</v>
      </c>
      <c r="B39" s="107"/>
      <c r="C39" s="107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7"/>
    </row>
    <row r="40" spans="1:16" x14ac:dyDescent="0.3">
      <c r="A40" s="23" t="s">
        <v>90</v>
      </c>
      <c r="B40" s="107"/>
      <c r="C40" s="107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7"/>
    </row>
    <row r="41" spans="1:16" x14ac:dyDescent="0.3">
      <c r="A41" s="23" t="s">
        <v>91</v>
      </c>
      <c r="B41" s="107"/>
      <c r="C41" s="107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7"/>
    </row>
    <row r="42" spans="1:16" x14ac:dyDescent="0.3">
      <c r="A42" s="23" t="s">
        <v>85</v>
      </c>
      <c r="B42" s="107"/>
      <c r="C42" s="107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7"/>
    </row>
    <row r="43" spans="1:16" x14ac:dyDescent="0.3">
      <c r="A43" s="23" t="s">
        <v>271</v>
      </c>
      <c r="B43" s="107"/>
      <c r="C43" s="107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7"/>
    </row>
    <row r="44" spans="1:16" x14ac:dyDescent="0.3">
      <c r="A44" s="23" t="s">
        <v>106</v>
      </c>
      <c r="B44" s="107"/>
      <c r="C44" s="107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7"/>
    </row>
    <row r="45" spans="1:16" x14ac:dyDescent="0.3">
      <c r="A45" s="23" t="s">
        <v>95</v>
      </c>
      <c r="B45" s="107"/>
      <c r="C45" s="107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7"/>
    </row>
    <row r="46" spans="1:16" x14ac:dyDescent="0.3">
      <c r="A46" s="24" t="s">
        <v>96</v>
      </c>
      <c r="B46" s="107"/>
      <c r="C46" s="107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7"/>
    </row>
    <row r="47" spans="1:16" x14ac:dyDescent="0.3">
      <c r="A47" s="24" t="s">
        <v>31</v>
      </c>
      <c r="B47" s="107"/>
      <c r="C47" s="107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7"/>
    </row>
    <row r="48" spans="1:16" x14ac:dyDescent="0.3">
      <c r="A48" s="23" t="s">
        <v>94</v>
      </c>
      <c r="B48" s="107"/>
      <c r="C48" s="107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7"/>
    </row>
    <row r="49" spans="1:16" x14ac:dyDescent="0.3">
      <c r="A49" s="23" t="s">
        <v>7</v>
      </c>
      <c r="B49" s="107"/>
      <c r="C49" s="107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7"/>
    </row>
    <row r="50" spans="1:16" x14ac:dyDescent="0.3">
      <c r="A50" s="23" t="s">
        <v>101</v>
      </c>
      <c r="B50" s="107"/>
      <c r="C50" s="107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7"/>
    </row>
    <row r="51" spans="1:16" x14ac:dyDescent="0.3">
      <c r="A51" s="23" t="s">
        <v>112</v>
      </c>
      <c r="B51" s="107"/>
      <c r="C51" s="107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7"/>
    </row>
    <row r="52" spans="1:16" x14ac:dyDescent="0.3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</row>
    <row r="53" spans="1:16" x14ac:dyDescent="0.3">
      <c r="A53" s="20" t="s">
        <v>93</v>
      </c>
      <c r="B53" s="114" t="s">
        <v>204</v>
      </c>
      <c r="C53" s="114" t="s">
        <v>200</v>
      </c>
      <c r="D53" s="117">
        <v>6</v>
      </c>
      <c r="E53" s="117" t="s">
        <v>119</v>
      </c>
      <c r="F53" s="117" t="s">
        <v>140</v>
      </c>
      <c r="G53" s="117">
        <v>14</v>
      </c>
      <c r="H53" s="117">
        <v>4</v>
      </c>
      <c r="I53" s="117"/>
      <c r="J53" s="117">
        <v>400</v>
      </c>
      <c r="K53" s="117"/>
      <c r="L53" s="117"/>
      <c r="M53" s="117"/>
      <c r="N53" s="117"/>
      <c r="O53" s="117">
        <v>700</v>
      </c>
      <c r="P53" s="114" t="s">
        <v>210</v>
      </c>
    </row>
    <row r="54" spans="1:16" x14ac:dyDescent="0.3">
      <c r="A54" s="20" t="s">
        <v>111</v>
      </c>
      <c r="B54" s="115"/>
      <c r="C54" s="115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5"/>
    </row>
    <row r="55" spans="1:16" x14ac:dyDescent="0.3">
      <c r="A55" s="20" t="s">
        <v>113</v>
      </c>
      <c r="B55" s="115"/>
      <c r="C55" s="115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5"/>
    </row>
    <row r="56" spans="1:16" x14ac:dyDescent="0.3">
      <c r="A56" s="20" t="s">
        <v>202</v>
      </c>
      <c r="B56" s="115"/>
      <c r="C56" s="115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5"/>
    </row>
    <row r="57" spans="1:16" x14ac:dyDescent="0.3">
      <c r="A57" s="20" t="s">
        <v>203</v>
      </c>
      <c r="B57" s="116"/>
      <c r="C57" s="116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6"/>
    </row>
  </sheetData>
  <autoFilter ref="A2:P2" xr:uid="{88826E01-C21B-4870-B59B-6F063C107843}"/>
  <mergeCells count="93">
    <mergeCell ref="N53:N57"/>
    <mergeCell ref="O53:O57"/>
    <mergeCell ref="P53:P57"/>
    <mergeCell ref="H53:H57"/>
    <mergeCell ref="I53:I57"/>
    <mergeCell ref="J53:J57"/>
    <mergeCell ref="K53:K57"/>
    <mergeCell ref="L53:L57"/>
    <mergeCell ref="M53:M57"/>
    <mergeCell ref="P24:P36"/>
    <mergeCell ref="P38:P51"/>
    <mergeCell ref="C38:C51"/>
    <mergeCell ref="A52:P52"/>
    <mergeCell ref="B53:B57"/>
    <mergeCell ref="C53:C57"/>
    <mergeCell ref="D53:D57"/>
    <mergeCell ref="E53:E57"/>
    <mergeCell ref="F53:F57"/>
    <mergeCell ref="G53:G57"/>
    <mergeCell ref="N38:N51"/>
    <mergeCell ref="O38:O51"/>
    <mergeCell ref="H38:H51"/>
    <mergeCell ref="I38:I51"/>
    <mergeCell ref="J38:J51"/>
    <mergeCell ref="K38:K51"/>
    <mergeCell ref="P8:P11"/>
    <mergeCell ref="G13:G22"/>
    <mergeCell ref="I13:I22"/>
    <mergeCell ref="J13:J22"/>
    <mergeCell ref="K13:K22"/>
    <mergeCell ref="L13:L22"/>
    <mergeCell ref="M13:M22"/>
    <mergeCell ref="N13:N22"/>
    <mergeCell ref="O13:O22"/>
    <mergeCell ref="P13:P22"/>
    <mergeCell ref="H13:H22"/>
    <mergeCell ref="O8:O11"/>
    <mergeCell ref="I8:I11"/>
    <mergeCell ref="J8:J11"/>
    <mergeCell ref="K8:K11"/>
    <mergeCell ref="L8:L11"/>
    <mergeCell ref="B13:B22"/>
    <mergeCell ref="C13:C22"/>
    <mergeCell ref="D13:D22"/>
    <mergeCell ref="E13:E22"/>
    <mergeCell ref="F13:F22"/>
    <mergeCell ref="I24:I36"/>
    <mergeCell ref="J24:J36"/>
    <mergeCell ref="L38:L51"/>
    <mergeCell ref="M38:M51"/>
    <mergeCell ref="K24:K36"/>
    <mergeCell ref="L24:L36"/>
    <mergeCell ref="M24:M36"/>
    <mergeCell ref="A7:P7"/>
    <mergeCell ref="P3:P6"/>
    <mergeCell ref="N24:N36"/>
    <mergeCell ref="O24:O36"/>
    <mergeCell ref="B38:B51"/>
    <mergeCell ref="D38:D51"/>
    <mergeCell ref="E38:E51"/>
    <mergeCell ref="F38:F51"/>
    <mergeCell ref="G38:G51"/>
    <mergeCell ref="B24:B36"/>
    <mergeCell ref="C24:C36"/>
    <mergeCell ref="D24:D36"/>
    <mergeCell ref="E24:E36"/>
    <mergeCell ref="F24:F36"/>
    <mergeCell ref="G24:G36"/>
    <mergeCell ref="H24:H36"/>
    <mergeCell ref="M8:M11"/>
    <mergeCell ref="N8:N11"/>
    <mergeCell ref="B8:B11"/>
    <mergeCell ref="D8:D11"/>
    <mergeCell ref="E8:E11"/>
    <mergeCell ref="F8:F11"/>
    <mergeCell ref="G8:G11"/>
    <mergeCell ref="H8:H11"/>
    <mergeCell ref="C8:C11"/>
    <mergeCell ref="A1:O1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7F0E-6E3D-4BC9-A447-F628F64C6BF0}">
  <dimension ref="A2:AH250"/>
  <sheetViews>
    <sheetView topLeftCell="A101" zoomScaleNormal="100" workbookViewId="0">
      <selection activeCell="D129" sqref="D129"/>
    </sheetView>
  </sheetViews>
  <sheetFormatPr defaultColWidth="8.77734375" defaultRowHeight="14.4" x14ac:dyDescent="0.3"/>
  <cols>
    <col min="1" max="1" width="8.77734375" style="2"/>
    <col min="2" max="2" width="19.5546875" style="2" customWidth="1"/>
    <col min="3" max="3" width="12.5546875" style="2" bestFit="1" customWidth="1"/>
    <col min="4" max="4" width="15.6640625" style="1" bestFit="1" customWidth="1"/>
    <col min="5" max="5" width="12.44140625" style="1" bestFit="1" customWidth="1"/>
    <col min="6" max="6" width="10.44140625" style="1" customWidth="1"/>
    <col min="7" max="7" width="10.44140625" style="2" bestFit="1" customWidth="1"/>
    <col min="8" max="10" width="10.44140625" style="2" customWidth="1"/>
    <col min="11" max="11" width="8.77734375" style="1"/>
    <col min="12" max="12" width="9.88671875" style="1" customWidth="1"/>
    <col min="13" max="13" width="8.77734375" style="1"/>
    <col min="14" max="14" width="10.44140625" style="2" bestFit="1" customWidth="1"/>
    <col min="15" max="15" width="8.77734375" style="1"/>
    <col min="16" max="16384" width="8.77734375" style="2"/>
  </cols>
  <sheetData>
    <row r="2" spans="1:34" ht="41.55" customHeight="1" x14ac:dyDescent="0.3">
      <c r="A2" s="26" t="s">
        <v>255</v>
      </c>
      <c r="B2" s="41" t="s">
        <v>169</v>
      </c>
      <c r="C2" s="25" t="s">
        <v>170</v>
      </c>
      <c r="D2" s="26" t="s">
        <v>171</v>
      </c>
      <c r="E2" s="26" t="s">
        <v>175</v>
      </c>
      <c r="F2" s="26" t="s">
        <v>174</v>
      </c>
      <c r="G2" s="26" t="s">
        <v>172</v>
      </c>
      <c r="H2" s="26"/>
      <c r="I2" s="26"/>
      <c r="J2" s="26"/>
      <c r="K2" s="26" t="s">
        <v>173</v>
      </c>
      <c r="L2" s="26" t="s">
        <v>176</v>
      </c>
      <c r="M2" s="26" t="s">
        <v>177</v>
      </c>
      <c r="N2" s="26" t="s">
        <v>178</v>
      </c>
      <c r="O2" s="26" t="s">
        <v>179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</row>
    <row r="3" spans="1:34" ht="16.5" customHeight="1" x14ac:dyDescent="0.3">
      <c r="A3" s="4">
        <v>1</v>
      </c>
      <c r="B3" s="28" t="s">
        <v>181</v>
      </c>
      <c r="C3" s="28" t="s">
        <v>191</v>
      </c>
      <c r="D3" s="29" t="s">
        <v>119</v>
      </c>
      <c r="E3" s="29" t="s">
        <v>186</v>
      </c>
      <c r="F3" s="29" t="s">
        <v>115</v>
      </c>
      <c r="G3" s="30">
        <v>46151</v>
      </c>
      <c r="H3" s="30"/>
      <c r="I3" s="30"/>
      <c r="J3" s="30"/>
      <c r="K3" s="31">
        <v>14.3</v>
      </c>
      <c r="L3" s="29" t="s">
        <v>269</v>
      </c>
      <c r="M3" s="29" t="s">
        <v>38</v>
      </c>
      <c r="N3" s="30">
        <v>46156</v>
      </c>
      <c r="O3" s="31">
        <v>9.3000000000000007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34" x14ac:dyDescent="0.3">
      <c r="A4" s="4">
        <v>2</v>
      </c>
      <c r="B4" s="57" t="s">
        <v>182</v>
      </c>
      <c r="C4" s="33" t="s">
        <v>191</v>
      </c>
      <c r="D4" s="34" t="s">
        <v>119</v>
      </c>
      <c r="E4" s="34" t="s">
        <v>186</v>
      </c>
      <c r="F4" s="34" t="s">
        <v>115</v>
      </c>
      <c r="G4" s="35">
        <v>46151</v>
      </c>
      <c r="H4" s="35"/>
      <c r="I4" s="35"/>
      <c r="J4" s="35"/>
      <c r="K4" s="36">
        <v>14.3</v>
      </c>
      <c r="L4" s="34" t="s">
        <v>269</v>
      </c>
      <c r="M4" s="34" t="s">
        <v>38</v>
      </c>
      <c r="N4" s="35">
        <v>46156</v>
      </c>
      <c r="O4" s="36">
        <v>9.3000000000000007</v>
      </c>
    </row>
    <row r="5" spans="1:34" x14ac:dyDescent="0.3">
      <c r="A5" s="4">
        <v>3</v>
      </c>
      <c r="B5" s="57" t="s">
        <v>180</v>
      </c>
      <c r="C5" s="33" t="s">
        <v>192</v>
      </c>
      <c r="D5" s="34" t="s">
        <v>184</v>
      </c>
      <c r="E5" s="34" t="s">
        <v>184</v>
      </c>
      <c r="F5" s="34" t="s">
        <v>185</v>
      </c>
      <c r="G5" s="58">
        <v>46153</v>
      </c>
      <c r="H5" s="58"/>
      <c r="I5" s="58"/>
      <c r="J5" s="58"/>
      <c r="K5" s="59">
        <v>17.3</v>
      </c>
      <c r="L5" s="34" t="s">
        <v>269</v>
      </c>
      <c r="M5" s="34" t="s">
        <v>38</v>
      </c>
      <c r="N5" s="58">
        <v>46155</v>
      </c>
      <c r="O5" s="59">
        <v>14.3</v>
      </c>
    </row>
    <row r="6" spans="1:34" x14ac:dyDescent="0.3">
      <c r="A6" s="4">
        <v>4</v>
      </c>
      <c r="B6" s="57" t="s">
        <v>183</v>
      </c>
      <c r="C6" s="33" t="s">
        <v>192</v>
      </c>
      <c r="D6" s="34" t="s">
        <v>122</v>
      </c>
      <c r="E6" s="34" t="s">
        <v>217</v>
      </c>
      <c r="F6" s="34" t="s">
        <v>187</v>
      </c>
      <c r="G6" s="58">
        <v>46152</v>
      </c>
      <c r="H6" s="58"/>
      <c r="I6" s="58"/>
      <c r="J6" s="58"/>
      <c r="K6" s="59">
        <v>19.3</v>
      </c>
      <c r="L6" s="34" t="s">
        <v>269</v>
      </c>
      <c r="M6" s="34" t="s">
        <v>38</v>
      </c>
      <c r="N6" s="58">
        <v>46155</v>
      </c>
      <c r="O6" s="59">
        <v>14.3</v>
      </c>
    </row>
    <row r="7" spans="1:34" x14ac:dyDescent="0.3">
      <c r="A7" s="4">
        <v>5</v>
      </c>
      <c r="B7" s="57" t="s">
        <v>134</v>
      </c>
      <c r="C7" s="33" t="s">
        <v>215</v>
      </c>
      <c r="D7" s="15" t="s">
        <v>122</v>
      </c>
      <c r="E7" s="34" t="s">
        <v>212</v>
      </c>
      <c r="F7" s="34" t="s">
        <v>115</v>
      </c>
      <c r="G7" s="58">
        <v>46152</v>
      </c>
      <c r="H7" s="58"/>
      <c r="I7" s="58"/>
      <c r="J7" s="58"/>
      <c r="K7" s="59">
        <v>19.3</v>
      </c>
      <c r="L7" s="34" t="s">
        <v>188</v>
      </c>
      <c r="M7" s="15">
        <v>104</v>
      </c>
      <c r="N7" s="58">
        <v>46155</v>
      </c>
      <c r="O7" s="59">
        <v>14.3</v>
      </c>
    </row>
    <row r="8" spans="1:34" x14ac:dyDescent="0.3">
      <c r="A8" s="4">
        <v>6</v>
      </c>
      <c r="B8" s="57" t="s">
        <v>189</v>
      </c>
      <c r="C8" s="33" t="s">
        <v>215</v>
      </c>
      <c r="D8" s="34" t="s">
        <v>139</v>
      </c>
      <c r="E8" s="34" t="s">
        <v>263</v>
      </c>
      <c r="F8" s="34" t="s">
        <v>190</v>
      </c>
      <c r="G8" s="58">
        <v>46152</v>
      </c>
      <c r="H8" s="58"/>
      <c r="I8" s="58"/>
      <c r="J8" s="58"/>
      <c r="K8" s="59">
        <v>11.3</v>
      </c>
      <c r="L8" s="34" t="s">
        <v>188</v>
      </c>
      <c r="M8" s="15">
        <v>104</v>
      </c>
      <c r="N8" s="58">
        <v>46155</v>
      </c>
      <c r="O8" s="59">
        <v>14.3</v>
      </c>
    </row>
    <row r="9" spans="1:34" x14ac:dyDescent="0.3">
      <c r="A9" s="4">
        <v>7</v>
      </c>
      <c r="B9" s="57" t="s">
        <v>1</v>
      </c>
      <c r="C9" s="33" t="s">
        <v>215</v>
      </c>
      <c r="D9" s="15" t="s">
        <v>122</v>
      </c>
      <c r="E9" s="34" t="s">
        <v>212</v>
      </c>
      <c r="F9" s="34" t="s">
        <v>115</v>
      </c>
      <c r="G9" s="58">
        <v>46152</v>
      </c>
      <c r="H9" s="58"/>
      <c r="I9" s="58"/>
      <c r="J9" s="58"/>
      <c r="K9" s="59">
        <v>19.3</v>
      </c>
      <c r="L9" s="34" t="s">
        <v>188</v>
      </c>
      <c r="M9" s="15">
        <v>104</v>
      </c>
      <c r="N9" s="58">
        <v>46155</v>
      </c>
      <c r="O9" s="59">
        <v>14.3</v>
      </c>
    </row>
    <row r="10" spans="1:34" x14ac:dyDescent="0.3">
      <c r="A10" s="4">
        <v>8</v>
      </c>
      <c r="B10" s="57" t="s">
        <v>2</v>
      </c>
      <c r="C10" s="33" t="s">
        <v>215</v>
      </c>
      <c r="D10" s="15" t="s">
        <v>122</v>
      </c>
      <c r="E10" s="34" t="s">
        <v>212</v>
      </c>
      <c r="F10" s="34" t="s">
        <v>115</v>
      </c>
      <c r="G10" s="58">
        <v>46152</v>
      </c>
      <c r="H10" s="58"/>
      <c r="I10" s="58"/>
      <c r="J10" s="58"/>
      <c r="K10" s="59">
        <v>19.3</v>
      </c>
      <c r="L10" s="34" t="s">
        <v>188</v>
      </c>
      <c r="M10" s="15">
        <v>104</v>
      </c>
      <c r="N10" s="58">
        <v>46155</v>
      </c>
      <c r="O10" s="59">
        <v>14.3</v>
      </c>
    </row>
    <row r="11" spans="1:34" x14ac:dyDescent="0.3">
      <c r="A11" s="4">
        <v>9</v>
      </c>
      <c r="B11" s="57" t="s">
        <v>98</v>
      </c>
      <c r="C11" s="33" t="s">
        <v>41</v>
      </c>
      <c r="D11" s="15" t="s">
        <v>122</v>
      </c>
      <c r="E11" s="34" t="s">
        <v>212</v>
      </c>
      <c r="F11" s="34" t="s">
        <v>115</v>
      </c>
      <c r="G11" s="58">
        <v>46152</v>
      </c>
      <c r="H11" s="58"/>
      <c r="I11" s="58"/>
      <c r="J11" s="58"/>
      <c r="K11" s="59">
        <v>19.3</v>
      </c>
      <c r="L11" s="34" t="s">
        <v>188</v>
      </c>
      <c r="M11" s="15">
        <v>105</v>
      </c>
      <c r="N11" s="58">
        <v>46155</v>
      </c>
      <c r="O11" s="59">
        <v>14.3</v>
      </c>
    </row>
    <row r="12" spans="1:34" x14ac:dyDescent="0.3">
      <c r="A12" s="4">
        <v>10</v>
      </c>
      <c r="B12" s="57" t="s">
        <v>41</v>
      </c>
      <c r="C12" s="33" t="s">
        <v>41</v>
      </c>
      <c r="D12" s="15" t="s">
        <v>122</v>
      </c>
      <c r="E12" s="34" t="s">
        <v>212</v>
      </c>
      <c r="F12" s="34" t="s">
        <v>115</v>
      </c>
      <c r="G12" s="58">
        <v>46152</v>
      </c>
      <c r="H12" s="58"/>
      <c r="I12" s="58"/>
      <c r="J12" s="58"/>
      <c r="K12" s="59">
        <v>19.3</v>
      </c>
      <c r="L12" s="34" t="s">
        <v>188</v>
      </c>
      <c r="M12" s="15">
        <v>105</v>
      </c>
      <c r="N12" s="58">
        <v>46155</v>
      </c>
      <c r="O12" s="59">
        <v>14.3</v>
      </c>
    </row>
    <row r="13" spans="1:34" x14ac:dyDescent="0.3">
      <c r="A13" s="4">
        <v>11</v>
      </c>
      <c r="B13" s="57" t="s">
        <v>42</v>
      </c>
      <c r="C13" s="33" t="s">
        <v>42</v>
      </c>
      <c r="D13" s="15" t="s">
        <v>213</v>
      </c>
      <c r="E13" s="34" t="s">
        <v>262</v>
      </c>
      <c r="F13" s="34" t="s">
        <v>83</v>
      </c>
      <c r="G13" s="58">
        <v>46149</v>
      </c>
      <c r="H13" s="58"/>
      <c r="I13" s="58"/>
      <c r="J13" s="58"/>
      <c r="K13" s="59">
        <v>17.3</v>
      </c>
      <c r="L13" s="34" t="s">
        <v>188</v>
      </c>
      <c r="M13" s="15">
        <v>106</v>
      </c>
      <c r="N13" s="58">
        <v>46155</v>
      </c>
      <c r="O13" s="59">
        <v>14.3</v>
      </c>
    </row>
    <row r="14" spans="1:34" x14ac:dyDescent="0.3">
      <c r="A14" s="4">
        <v>12</v>
      </c>
      <c r="B14" s="57" t="s">
        <v>34</v>
      </c>
      <c r="C14" s="33" t="s">
        <v>42</v>
      </c>
      <c r="D14" s="15" t="s">
        <v>213</v>
      </c>
      <c r="E14" s="34" t="s">
        <v>262</v>
      </c>
      <c r="F14" s="34" t="s">
        <v>83</v>
      </c>
      <c r="G14" s="58">
        <v>46149</v>
      </c>
      <c r="H14" s="58"/>
      <c r="I14" s="58"/>
      <c r="J14" s="58"/>
      <c r="K14" s="59">
        <v>17.3</v>
      </c>
      <c r="L14" s="34" t="s">
        <v>188</v>
      </c>
      <c r="M14" s="15">
        <v>106</v>
      </c>
      <c r="N14" s="58">
        <v>46155</v>
      </c>
      <c r="O14" s="59">
        <v>14.3</v>
      </c>
    </row>
    <row r="15" spans="1:34" x14ac:dyDescent="0.3">
      <c r="A15" s="4">
        <v>13</v>
      </c>
      <c r="B15" s="57" t="s">
        <v>35</v>
      </c>
      <c r="C15" s="33" t="s">
        <v>42</v>
      </c>
      <c r="D15" s="15" t="s">
        <v>213</v>
      </c>
      <c r="E15" s="34" t="s">
        <v>262</v>
      </c>
      <c r="F15" s="34" t="s">
        <v>214</v>
      </c>
      <c r="G15" s="58">
        <v>46152</v>
      </c>
      <c r="H15" s="58"/>
      <c r="I15" s="58"/>
      <c r="J15" s="58"/>
      <c r="K15" s="59">
        <v>17.3</v>
      </c>
      <c r="L15" s="34" t="s">
        <v>188</v>
      </c>
      <c r="M15" s="15">
        <v>106</v>
      </c>
      <c r="N15" s="58">
        <v>46155</v>
      </c>
      <c r="O15" s="59">
        <v>14.3</v>
      </c>
    </row>
    <row r="16" spans="1:34" x14ac:dyDescent="0.3">
      <c r="A16" s="4">
        <v>14</v>
      </c>
      <c r="B16" s="57" t="s">
        <v>43</v>
      </c>
      <c r="C16" s="33" t="s">
        <v>19</v>
      </c>
      <c r="D16" s="15" t="s">
        <v>122</v>
      </c>
      <c r="E16" s="34" t="s">
        <v>212</v>
      </c>
      <c r="F16" s="34" t="s">
        <v>115</v>
      </c>
      <c r="G16" s="58">
        <v>46152</v>
      </c>
      <c r="H16" s="58"/>
      <c r="I16" s="58"/>
      <c r="J16" s="58"/>
      <c r="K16" s="59">
        <v>19.3</v>
      </c>
      <c r="L16" s="34" t="s">
        <v>188</v>
      </c>
      <c r="M16" s="15">
        <v>107</v>
      </c>
      <c r="N16" s="58">
        <v>46155</v>
      </c>
      <c r="O16" s="59">
        <v>14.3</v>
      </c>
    </row>
    <row r="17" spans="1:15" x14ac:dyDescent="0.3">
      <c r="A17" s="4">
        <v>15</v>
      </c>
      <c r="B17" s="57" t="s">
        <v>44</v>
      </c>
      <c r="C17" s="33" t="s">
        <v>19</v>
      </c>
      <c r="D17" s="15" t="s">
        <v>122</v>
      </c>
      <c r="E17" s="34" t="s">
        <v>212</v>
      </c>
      <c r="F17" s="34" t="s">
        <v>115</v>
      </c>
      <c r="G17" s="58">
        <v>46152</v>
      </c>
      <c r="H17" s="58"/>
      <c r="I17" s="58"/>
      <c r="J17" s="58"/>
      <c r="K17" s="59">
        <v>19.3</v>
      </c>
      <c r="L17" s="34" t="s">
        <v>188</v>
      </c>
      <c r="M17" s="15">
        <v>107</v>
      </c>
      <c r="N17" s="58">
        <v>46155</v>
      </c>
      <c r="O17" s="59">
        <v>14.3</v>
      </c>
    </row>
    <row r="18" spans="1:15" x14ac:dyDescent="0.3">
      <c r="A18" s="4">
        <v>16</v>
      </c>
      <c r="B18" s="57" t="s">
        <v>167</v>
      </c>
      <c r="C18" s="33" t="s">
        <v>266</v>
      </c>
      <c r="D18" s="15" t="s">
        <v>122</v>
      </c>
      <c r="E18" s="34" t="s">
        <v>212</v>
      </c>
      <c r="F18" s="34" t="s">
        <v>115</v>
      </c>
      <c r="G18" s="58">
        <v>46152</v>
      </c>
      <c r="H18" s="58"/>
      <c r="I18" s="58"/>
      <c r="J18" s="58"/>
      <c r="K18" s="59">
        <v>19.3</v>
      </c>
      <c r="L18" s="34" t="s">
        <v>188</v>
      </c>
      <c r="M18" s="15">
        <v>202</v>
      </c>
      <c r="N18" s="58">
        <v>46155</v>
      </c>
      <c r="O18" s="59">
        <v>14.3</v>
      </c>
    </row>
    <row r="19" spans="1:15" x14ac:dyDescent="0.3">
      <c r="A19" s="4">
        <v>17</v>
      </c>
      <c r="B19" s="57" t="s">
        <v>3</v>
      </c>
      <c r="C19" s="33" t="s">
        <v>3</v>
      </c>
      <c r="D19" s="15" t="s">
        <v>139</v>
      </c>
      <c r="E19" s="34" t="s">
        <v>263</v>
      </c>
      <c r="F19" s="34" t="s">
        <v>190</v>
      </c>
      <c r="G19" s="58">
        <v>46152</v>
      </c>
      <c r="H19" s="58"/>
      <c r="I19" s="58"/>
      <c r="J19" s="58"/>
      <c r="K19" s="59">
        <v>11.3</v>
      </c>
      <c r="L19" s="34" t="s">
        <v>188</v>
      </c>
      <c r="M19" s="15">
        <v>108</v>
      </c>
      <c r="N19" s="58">
        <v>46155</v>
      </c>
      <c r="O19" s="59">
        <v>14.3</v>
      </c>
    </row>
    <row r="20" spans="1:15" x14ac:dyDescent="0.3">
      <c r="A20" s="4">
        <v>18</v>
      </c>
      <c r="B20" s="57" t="s">
        <v>4</v>
      </c>
      <c r="C20" s="33" t="s">
        <v>3</v>
      </c>
      <c r="D20" s="15" t="s">
        <v>139</v>
      </c>
      <c r="E20" s="34" t="s">
        <v>263</v>
      </c>
      <c r="F20" s="34" t="s">
        <v>190</v>
      </c>
      <c r="G20" s="58">
        <v>46152</v>
      </c>
      <c r="H20" s="58"/>
      <c r="I20" s="58"/>
      <c r="J20" s="58"/>
      <c r="K20" s="59">
        <v>11.3</v>
      </c>
      <c r="L20" s="34" t="s">
        <v>188</v>
      </c>
      <c r="M20" s="15">
        <v>108</v>
      </c>
      <c r="N20" s="58">
        <v>46155</v>
      </c>
      <c r="O20" s="59">
        <v>14.3</v>
      </c>
    </row>
    <row r="21" spans="1:15" x14ac:dyDescent="0.3">
      <c r="A21" s="4">
        <v>19</v>
      </c>
      <c r="B21" s="57" t="s">
        <v>143</v>
      </c>
      <c r="C21" s="33" t="s">
        <v>3</v>
      </c>
      <c r="D21" s="15" t="s">
        <v>139</v>
      </c>
      <c r="E21" s="34" t="s">
        <v>263</v>
      </c>
      <c r="F21" s="34" t="s">
        <v>190</v>
      </c>
      <c r="G21" s="58">
        <v>46152</v>
      </c>
      <c r="H21" s="58"/>
      <c r="I21" s="58"/>
      <c r="J21" s="58"/>
      <c r="K21" s="59">
        <v>11.3</v>
      </c>
      <c r="L21" s="34" t="s">
        <v>188</v>
      </c>
      <c r="M21" s="15">
        <v>108</v>
      </c>
      <c r="N21" s="58">
        <v>46155</v>
      </c>
      <c r="O21" s="59">
        <v>14.3</v>
      </c>
    </row>
    <row r="22" spans="1:15" x14ac:dyDescent="0.3">
      <c r="A22" s="4">
        <v>20</v>
      </c>
      <c r="B22" s="57" t="s">
        <v>144</v>
      </c>
      <c r="C22" s="33" t="s">
        <v>3</v>
      </c>
      <c r="D22" s="15" t="s">
        <v>139</v>
      </c>
      <c r="E22" s="34" t="s">
        <v>263</v>
      </c>
      <c r="F22" s="34" t="s">
        <v>190</v>
      </c>
      <c r="G22" s="58">
        <v>46152</v>
      </c>
      <c r="H22" s="58"/>
      <c r="I22" s="58"/>
      <c r="J22" s="58"/>
      <c r="K22" s="59">
        <v>11.3</v>
      </c>
      <c r="L22" s="34" t="s">
        <v>188</v>
      </c>
      <c r="M22" s="15">
        <v>108</v>
      </c>
      <c r="N22" s="58">
        <v>46155</v>
      </c>
      <c r="O22" s="59">
        <v>14.3</v>
      </c>
    </row>
    <row r="23" spans="1:15" x14ac:dyDescent="0.3">
      <c r="A23" s="4">
        <v>21</v>
      </c>
      <c r="B23" s="57" t="s">
        <v>22</v>
      </c>
      <c r="C23" s="33" t="s">
        <v>22</v>
      </c>
      <c r="D23" s="15" t="s">
        <v>139</v>
      </c>
      <c r="E23" s="34" t="s">
        <v>264</v>
      </c>
      <c r="F23" s="34" t="s">
        <v>216</v>
      </c>
      <c r="G23" s="58">
        <v>46152</v>
      </c>
      <c r="H23" s="58"/>
      <c r="I23" s="58"/>
      <c r="J23" s="58"/>
      <c r="K23" s="59">
        <v>19.3</v>
      </c>
      <c r="L23" s="34" t="s">
        <v>188</v>
      </c>
      <c r="M23" s="15">
        <v>109</v>
      </c>
      <c r="N23" s="58">
        <v>46155</v>
      </c>
      <c r="O23" s="59">
        <v>14.3</v>
      </c>
    </row>
    <row r="24" spans="1:15" x14ac:dyDescent="0.3">
      <c r="A24" s="4">
        <v>22</v>
      </c>
      <c r="B24" s="57" t="s">
        <v>23</v>
      </c>
      <c r="C24" s="33" t="s">
        <v>22</v>
      </c>
      <c r="D24" s="15" t="s">
        <v>139</v>
      </c>
      <c r="E24" s="34" t="s">
        <v>264</v>
      </c>
      <c r="F24" s="34" t="s">
        <v>216</v>
      </c>
      <c r="G24" s="58">
        <v>46152</v>
      </c>
      <c r="H24" s="58"/>
      <c r="I24" s="58"/>
      <c r="J24" s="58"/>
      <c r="K24" s="59">
        <v>19.3</v>
      </c>
      <c r="L24" s="34" t="s">
        <v>188</v>
      </c>
      <c r="M24" s="15">
        <v>109</v>
      </c>
      <c r="N24" s="58">
        <v>46155</v>
      </c>
      <c r="O24" s="59">
        <v>14.3</v>
      </c>
    </row>
    <row r="25" spans="1:15" x14ac:dyDescent="0.3">
      <c r="A25" s="4">
        <v>23</v>
      </c>
      <c r="B25" s="57" t="s">
        <v>145</v>
      </c>
      <c r="C25" s="33" t="s">
        <v>22</v>
      </c>
      <c r="D25" s="15" t="s">
        <v>139</v>
      </c>
      <c r="E25" s="34" t="s">
        <v>264</v>
      </c>
      <c r="F25" s="34" t="s">
        <v>216</v>
      </c>
      <c r="G25" s="58">
        <v>46152</v>
      </c>
      <c r="H25" s="58"/>
      <c r="I25" s="58"/>
      <c r="J25" s="58"/>
      <c r="K25" s="59">
        <v>19.3</v>
      </c>
      <c r="L25" s="34" t="s">
        <v>188</v>
      </c>
      <c r="M25" s="15">
        <v>109</v>
      </c>
      <c r="N25" s="58">
        <v>46155</v>
      </c>
      <c r="O25" s="59">
        <v>14.3</v>
      </c>
    </row>
    <row r="26" spans="1:15" x14ac:dyDescent="0.3">
      <c r="A26" s="4">
        <v>24</v>
      </c>
      <c r="B26" s="57" t="s">
        <v>146</v>
      </c>
      <c r="C26" s="33" t="s">
        <v>22</v>
      </c>
      <c r="D26" s="15" t="s">
        <v>139</v>
      </c>
      <c r="E26" s="34" t="s">
        <v>264</v>
      </c>
      <c r="F26" s="34" t="s">
        <v>216</v>
      </c>
      <c r="G26" s="58">
        <v>46152</v>
      </c>
      <c r="H26" s="58"/>
      <c r="I26" s="58"/>
      <c r="J26" s="58"/>
      <c r="K26" s="59">
        <v>19.3</v>
      </c>
      <c r="L26" s="34" t="s">
        <v>188</v>
      </c>
      <c r="M26" s="15">
        <v>109</v>
      </c>
      <c r="N26" s="58">
        <v>46155</v>
      </c>
      <c r="O26" s="59">
        <v>14.3</v>
      </c>
    </row>
    <row r="27" spans="1:15" x14ac:dyDescent="0.3">
      <c r="A27" s="4">
        <v>25</v>
      </c>
      <c r="B27" s="57" t="s">
        <v>24</v>
      </c>
      <c r="C27" s="33" t="s">
        <v>24</v>
      </c>
      <c r="D27" s="15" t="s">
        <v>139</v>
      </c>
      <c r="E27" s="34" t="s">
        <v>264</v>
      </c>
      <c r="F27" s="34" t="s">
        <v>216</v>
      </c>
      <c r="G27" s="58">
        <v>46152</v>
      </c>
      <c r="H27" s="58"/>
      <c r="I27" s="58"/>
      <c r="J27" s="58"/>
      <c r="K27" s="59">
        <v>19.3</v>
      </c>
      <c r="L27" s="34" t="s">
        <v>188</v>
      </c>
      <c r="M27" s="15">
        <v>110</v>
      </c>
      <c r="N27" s="58">
        <v>46155</v>
      </c>
      <c r="O27" s="59">
        <v>14.3</v>
      </c>
    </row>
    <row r="28" spans="1:15" x14ac:dyDescent="0.3">
      <c r="A28" s="4">
        <v>26</v>
      </c>
      <c r="B28" s="57" t="s">
        <v>31</v>
      </c>
      <c r="C28" s="33" t="s">
        <v>24</v>
      </c>
      <c r="D28" s="15" t="s">
        <v>139</v>
      </c>
      <c r="E28" s="34" t="s">
        <v>264</v>
      </c>
      <c r="F28" s="34" t="s">
        <v>216</v>
      </c>
      <c r="G28" s="58">
        <v>46152</v>
      </c>
      <c r="H28" s="58"/>
      <c r="I28" s="58"/>
      <c r="J28" s="58"/>
      <c r="K28" s="59">
        <v>19.3</v>
      </c>
      <c r="L28" s="34" t="s">
        <v>188</v>
      </c>
      <c r="M28" s="15">
        <v>110</v>
      </c>
      <c r="N28" s="58">
        <v>46155</v>
      </c>
      <c r="O28" s="59">
        <v>14.3</v>
      </c>
    </row>
    <row r="29" spans="1:15" x14ac:dyDescent="0.3">
      <c r="A29" s="4">
        <v>27</v>
      </c>
      <c r="B29" s="57" t="s">
        <v>147</v>
      </c>
      <c r="C29" s="33" t="s">
        <v>24</v>
      </c>
      <c r="D29" s="15" t="s">
        <v>139</v>
      </c>
      <c r="E29" s="34" t="s">
        <v>264</v>
      </c>
      <c r="F29" s="34" t="s">
        <v>216</v>
      </c>
      <c r="G29" s="58">
        <v>46152</v>
      </c>
      <c r="H29" s="58"/>
      <c r="I29" s="58"/>
      <c r="J29" s="58"/>
      <c r="K29" s="59">
        <v>19.3</v>
      </c>
      <c r="L29" s="34" t="s">
        <v>188</v>
      </c>
      <c r="M29" s="15">
        <v>110</v>
      </c>
      <c r="N29" s="58">
        <v>46155</v>
      </c>
      <c r="O29" s="59">
        <v>14.3</v>
      </c>
    </row>
    <row r="30" spans="1:15" x14ac:dyDescent="0.3">
      <c r="A30" s="4">
        <v>28</v>
      </c>
      <c r="B30" s="57" t="s">
        <v>148</v>
      </c>
      <c r="C30" s="33" t="s">
        <v>24</v>
      </c>
      <c r="D30" s="15" t="s">
        <v>139</v>
      </c>
      <c r="E30" s="34" t="s">
        <v>264</v>
      </c>
      <c r="F30" s="34" t="s">
        <v>216</v>
      </c>
      <c r="G30" s="58">
        <v>46152</v>
      </c>
      <c r="H30" s="58"/>
      <c r="I30" s="58"/>
      <c r="J30" s="58"/>
      <c r="K30" s="59">
        <v>19.3</v>
      </c>
      <c r="L30" s="34" t="s">
        <v>188</v>
      </c>
      <c r="M30" s="15">
        <v>110</v>
      </c>
      <c r="N30" s="58">
        <v>46155</v>
      </c>
      <c r="O30" s="59">
        <v>14.3</v>
      </c>
    </row>
    <row r="31" spans="1:15" x14ac:dyDescent="0.3">
      <c r="A31" s="4">
        <v>29</v>
      </c>
      <c r="B31" s="57" t="s">
        <v>46</v>
      </c>
      <c r="C31" s="33" t="s">
        <v>46</v>
      </c>
      <c r="D31" s="15" t="s">
        <v>122</v>
      </c>
      <c r="E31" s="34" t="s">
        <v>217</v>
      </c>
      <c r="F31" s="34" t="s">
        <v>187</v>
      </c>
      <c r="G31" s="58">
        <v>46152</v>
      </c>
      <c r="H31" s="58"/>
      <c r="I31" s="58"/>
      <c r="J31" s="58"/>
      <c r="K31" s="59">
        <v>19.3</v>
      </c>
      <c r="L31" s="34" t="s">
        <v>188</v>
      </c>
      <c r="M31" s="15">
        <v>111</v>
      </c>
      <c r="N31" s="58">
        <v>46155</v>
      </c>
      <c r="O31" s="59">
        <v>14.3</v>
      </c>
    </row>
    <row r="32" spans="1:15" x14ac:dyDescent="0.3">
      <c r="A32" s="4">
        <v>30</v>
      </c>
      <c r="B32" s="57" t="s">
        <v>6</v>
      </c>
      <c r="C32" s="33" t="s">
        <v>46</v>
      </c>
      <c r="D32" s="15" t="s">
        <v>122</v>
      </c>
      <c r="E32" s="34" t="s">
        <v>217</v>
      </c>
      <c r="F32" s="34" t="s">
        <v>187</v>
      </c>
      <c r="G32" s="58">
        <v>46152</v>
      </c>
      <c r="H32" s="58"/>
      <c r="I32" s="58"/>
      <c r="J32" s="58"/>
      <c r="K32" s="59">
        <v>19.3</v>
      </c>
      <c r="L32" s="34" t="s">
        <v>188</v>
      </c>
      <c r="M32" s="15">
        <v>111</v>
      </c>
      <c r="N32" s="58">
        <v>46155</v>
      </c>
      <c r="O32" s="59">
        <v>14.3</v>
      </c>
    </row>
    <row r="33" spans="1:15" x14ac:dyDescent="0.3">
      <c r="A33" s="4">
        <v>31</v>
      </c>
      <c r="B33" s="57" t="s">
        <v>33</v>
      </c>
      <c r="C33" s="33" t="s">
        <v>46</v>
      </c>
      <c r="D33" s="15" t="s">
        <v>122</v>
      </c>
      <c r="E33" s="34" t="s">
        <v>217</v>
      </c>
      <c r="F33" s="34" t="s">
        <v>187</v>
      </c>
      <c r="G33" s="58">
        <v>46152</v>
      </c>
      <c r="H33" s="58"/>
      <c r="I33" s="58"/>
      <c r="J33" s="58"/>
      <c r="K33" s="59">
        <v>19.3</v>
      </c>
      <c r="L33" s="34" t="s">
        <v>188</v>
      </c>
      <c r="M33" s="15">
        <v>111</v>
      </c>
      <c r="N33" s="58">
        <v>46155</v>
      </c>
      <c r="O33" s="59">
        <v>14.3</v>
      </c>
    </row>
    <row r="34" spans="1:15" x14ac:dyDescent="0.3">
      <c r="A34" s="4">
        <v>32</v>
      </c>
      <c r="B34" s="57" t="s">
        <v>31</v>
      </c>
      <c r="C34" s="33" t="s">
        <v>46</v>
      </c>
      <c r="D34" s="15" t="s">
        <v>122</v>
      </c>
      <c r="E34" s="34" t="s">
        <v>217</v>
      </c>
      <c r="F34" s="34" t="s">
        <v>187</v>
      </c>
      <c r="G34" s="58">
        <v>46152</v>
      </c>
      <c r="H34" s="58"/>
      <c r="I34" s="58"/>
      <c r="J34" s="58"/>
      <c r="K34" s="59">
        <v>19.3</v>
      </c>
      <c r="L34" s="34" t="s">
        <v>188</v>
      </c>
      <c r="M34" s="15">
        <v>111</v>
      </c>
      <c r="N34" s="58">
        <v>46155</v>
      </c>
      <c r="O34" s="59">
        <v>14.3</v>
      </c>
    </row>
    <row r="35" spans="1:15" x14ac:dyDescent="0.3">
      <c r="A35" s="60">
        <v>33</v>
      </c>
      <c r="B35" s="61" t="s">
        <v>20</v>
      </c>
      <c r="C35" s="46" t="s">
        <v>20</v>
      </c>
      <c r="D35" s="62" t="s">
        <v>273</v>
      </c>
      <c r="E35" s="48" t="s">
        <v>219</v>
      </c>
      <c r="F35" s="48" t="s">
        <v>187</v>
      </c>
      <c r="G35" s="63">
        <v>46152</v>
      </c>
      <c r="H35" s="63"/>
      <c r="I35" s="63"/>
      <c r="J35" s="63"/>
      <c r="K35" s="64">
        <v>21.3</v>
      </c>
      <c r="L35" s="48" t="s">
        <v>188</v>
      </c>
      <c r="M35" s="48">
        <v>112</v>
      </c>
      <c r="N35" s="63">
        <v>46155</v>
      </c>
      <c r="O35" s="64">
        <v>14.3</v>
      </c>
    </row>
    <row r="36" spans="1:15" x14ac:dyDescent="0.3">
      <c r="A36" s="60">
        <v>34</v>
      </c>
      <c r="B36" s="61" t="s">
        <v>21</v>
      </c>
      <c r="C36" s="46" t="s">
        <v>20</v>
      </c>
      <c r="D36" s="62" t="s">
        <v>273</v>
      </c>
      <c r="E36" s="48" t="s">
        <v>219</v>
      </c>
      <c r="F36" s="48" t="s">
        <v>187</v>
      </c>
      <c r="G36" s="63">
        <v>46152</v>
      </c>
      <c r="H36" s="63"/>
      <c r="I36" s="63"/>
      <c r="J36" s="63"/>
      <c r="K36" s="64">
        <v>21.3</v>
      </c>
      <c r="L36" s="48" t="s">
        <v>188</v>
      </c>
      <c r="M36" s="48">
        <v>112</v>
      </c>
      <c r="N36" s="63">
        <v>46155</v>
      </c>
      <c r="O36" s="64">
        <v>14.3</v>
      </c>
    </row>
    <row r="37" spans="1:15" x14ac:dyDescent="0.3">
      <c r="A37" s="60">
        <v>35</v>
      </c>
      <c r="B37" s="61" t="s">
        <v>149</v>
      </c>
      <c r="C37" s="46" t="s">
        <v>20</v>
      </c>
      <c r="D37" s="62" t="s">
        <v>273</v>
      </c>
      <c r="E37" s="48" t="s">
        <v>219</v>
      </c>
      <c r="F37" s="48" t="s">
        <v>187</v>
      </c>
      <c r="G37" s="63">
        <v>46152</v>
      </c>
      <c r="H37" s="63"/>
      <c r="I37" s="63"/>
      <c r="J37" s="63"/>
      <c r="K37" s="64">
        <v>21.3</v>
      </c>
      <c r="L37" s="48" t="s">
        <v>188</v>
      </c>
      <c r="M37" s="48">
        <v>112</v>
      </c>
      <c r="N37" s="63">
        <v>46155</v>
      </c>
      <c r="O37" s="64">
        <v>14.3</v>
      </c>
    </row>
    <row r="38" spans="1:15" x14ac:dyDescent="0.3">
      <c r="A38" s="60">
        <v>36</v>
      </c>
      <c r="B38" s="61" t="s">
        <v>150</v>
      </c>
      <c r="C38" s="46" t="s">
        <v>20</v>
      </c>
      <c r="D38" s="62" t="s">
        <v>273</v>
      </c>
      <c r="E38" s="48" t="s">
        <v>219</v>
      </c>
      <c r="F38" s="48" t="s">
        <v>187</v>
      </c>
      <c r="G38" s="63">
        <v>46152</v>
      </c>
      <c r="H38" s="63"/>
      <c r="I38" s="63"/>
      <c r="J38" s="63"/>
      <c r="K38" s="64">
        <v>21.3</v>
      </c>
      <c r="L38" s="48" t="s">
        <v>188</v>
      </c>
      <c r="M38" s="48">
        <v>112</v>
      </c>
      <c r="N38" s="63">
        <v>46155</v>
      </c>
      <c r="O38" s="64">
        <v>14.3</v>
      </c>
    </row>
    <row r="39" spans="1:15" x14ac:dyDescent="0.3">
      <c r="A39" s="4">
        <v>37</v>
      </c>
      <c r="B39" s="57" t="s">
        <v>7</v>
      </c>
      <c r="C39" s="33" t="s">
        <v>266</v>
      </c>
      <c r="D39" s="15" t="s">
        <v>139</v>
      </c>
      <c r="E39" s="34" t="s">
        <v>263</v>
      </c>
      <c r="F39" s="34" t="s">
        <v>190</v>
      </c>
      <c r="G39" s="58">
        <v>46152</v>
      </c>
      <c r="H39" s="58"/>
      <c r="I39" s="58"/>
      <c r="J39" s="58"/>
      <c r="K39" s="59">
        <v>11.3</v>
      </c>
      <c r="L39" s="34" t="s">
        <v>188</v>
      </c>
      <c r="M39" s="15">
        <v>113</v>
      </c>
      <c r="N39" s="58">
        <v>46155</v>
      </c>
      <c r="O39" s="59">
        <v>14.3</v>
      </c>
    </row>
    <row r="40" spans="1:15" x14ac:dyDescent="0.3">
      <c r="A40" s="4">
        <v>38</v>
      </c>
      <c r="B40" s="57" t="s">
        <v>47</v>
      </c>
      <c r="C40" s="33" t="s">
        <v>266</v>
      </c>
      <c r="D40" s="15" t="s">
        <v>139</v>
      </c>
      <c r="E40" s="34" t="s">
        <v>263</v>
      </c>
      <c r="F40" s="34" t="s">
        <v>220</v>
      </c>
      <c r="G40" s="58">
        <v>46153</v>
      </c>
      <c r="H40" s="58"/>
      <c r="I40" s="58"/>
      <c r="J40" s="58"/>
      <c r="K40" s="59">
        <v>11.3</v>
      </c>
      <c r="L40" s="34" t="s">
        <v>188</v>
      </c>
      <c r="M40" s="15">
        <v>202</v>
      </c>
      <c r="N40" s="58">
        <v>46155</v>
      </c>
      <c r="O40" s="59">
        <v>14.3</v>
      </c>
    </row>
    <row r="41" spans="1:15" x14ac:dyDescent="0.3">
      <c r="A41" s="4">
        <v>39</v>
      </c>
      <c r="B41" s="57" t="s">
        <v>48</v>
      </c>
      <c r="C41" s="33" t="s">
        <v>48</v>
      </c>
      <c r="D41" s="15" t="s">
        <v>122</v>
      </c>
      <c r="E41" s="34" t="s">
        <v>217</v>
      </c>
      <c r="F41" s="34" t="s">
        <v>187</v>
      </c>
      <c r="G41" s="58">
        <v>46152</v>
      </c>
      <c r="H41" s="58"/>
      <c r="I41" s="58"/>
      <c r="J41" s="58"/>
      <c r="K41" s="59">
        <v>19.3</v>
      </c>
      <c r="L41" s="34" t="s">
        <v>221</v>
      </c>
      <c r="M41" s="34">
        <v>1</v>
      </c>
      <c r="N41" s="58">
        <v>46155</v>
      </c>
      <c r="O41" s="59">
        <v>14.3</v>
      </c>
    </row>
    <row r="42" spans="1:15" x14ac:dyDescent="0.3">
      <c r="A42" s="4">
        <v>40</v>
      </c>
      <c r="B42" s="57" t="s">
        <v>8</v>
      </c>
      <c r="C42" s="33" t="s">
        <v>48</v>
      </c>
      <c r="D42" s="15" t="s">
        <v>122</v>
      </c>
      <c r="E42" s="34" t="s">
        <v>217</v>
      </c>
      <c r="F42" s="34" t="s">
        <v>187</v>
      </c>
      <c r="G42" s="58">
        <v>46152</v>
      </c>
      <c r="H42" s="58"/>
      <c r="I42" s="58"/>
      <c r="J42" s="58"/>
      <c r="K42" s="59">
        <v>19.3</v>
      </c>
      <c r="L42" s="34" t="s">
        <v>221</v>
      </c>
      <c r="M42" s="34">
        <v>1</v>
      </c>
      <c r="N42" s="58">
        <v>46155</v>
      </c>
      <c r="O42" s="59">
        <v>14.3</v>
      </c>
    </row>
    <row r="43" spans="1:15" x14ac:dyDescent="0.3">
      <c r="A43" s="4">
        <v>41</v>
      </c>
      <c r="B43" s="57" t="s">
        <v>28</v>
      </c>
      <c r="C43" s="33" t="s">
        <v>28</v>
      </c>
      <c r="D43" s="15" t="s">
        <v>122</v>
      </c>
      <c r="E43" s="34" t="s">
        <v>217</v>
      </c>
      <c r="F43" s="34" t="s">
        <v>187</v>
      </c>
      <c r="G43" s="58">
        <v>46152</v>
      </c>
      <c r="H43" s="58"/>
      <c r="I43" s="58"/>
      <c r="J43" s="58"/>
      <c r="K43" s="59">
        <v>19.3</v>
      </c>
      <c r="L43" s="34" t="s">
        <v>221</v>
      </c>
      <c r="M43" s="34">
        <v>4</v>
      </c>
      <c r="N43" s="58">
        <v>46155</v>
      </c>
      <c r="O43" s="59">
        <v>14.3</v>
      </c>
    </row>
    <row r="44" spans="1:15" x14ac:dyDescent="0.3">
      <c r="A44" s="4">
        <v>42</v>
      </c>
      <c r="B44" s="57" t="s">
        <v>9</v>
      </c>
      <c r="C44" s="33" t="s">
        <v>28</v>
      </c>
      <c r="D44" s="15" t="s">
        <v>122</v>
      </c>
      <c r="E44" s="34" t="s">
        <v>217</v>
      </c>
      <c r="F44" s="34" t="s">
        <v>187</v>
      </c>
      <c r="G44" s="58">
        <v>46152</v>
      </c>
      <c r="H44" s="58"/>
      <c r="I44" s="58"/>
      <c r="J44" s="58"/>
      <c r="K44" s="59">
        <v>19.3</v>
      </c>
      <c r="L44" s="34" t="s">
        <v>221</v>
      </c>
      <c r="M44" s="34">
        <v>4</v>
      </c>
      <c r="N44" s="58">
        <v>46155</v>
      </c>
      <c r="O44" s="59">
        <v>14.3</v>
      </c>
    </row>
    <row r="45" spans="1:15" x14ac:dyDescent="0.3">
      <c r="A45" s="4">
        <v>43</v>
      </c>
      <c r="B45" s="57" t="s">
        <v>49</v>
      </c>
      <c r="C45" s="33" t="s">
        <v>28</v>
      </c>
      <c r="D45" s="15" t="s">
        <v>122</v>
      </c>
      <c r="E45" s="34" t="s">
        <v>217</v>
      </c>
      <c r="F45" s="34" t="s">
        <v>187</v>
      </c>
      <c r="G45" s="58">
        <v>46152</v>
      </c>
      <c r="H45" s="58"/>
      <c r="I45" s="58"/>
      <c r="J45" s="58"/>
      <c r="K45" s="59">
        <v>19.3</v>
      </c>
      <c r="L45" s="34" t="s">
        <v>221</v>
      </c>
      <c r="M45" s="34">
        <v>13</v>
      </c>
      <c r="N45" s="58">
        <v>46155</v>
      </c>
      <c r="O45" s="59">
        <v>14.3</v>
      </c>
    </row>
    <row r="46" spans="1:15" x14ac:dyDescent="0.3">
      <c r="A46" s="4">
        <v>44</v>
      </c>
      <c r="B46" s="61" t="s">
        <v>271</v>
      </c>
      <c r="C46" s="33" t="s">
        <v>28</v>
      </c>
      <c r="D46" s="15" t="s">
        <v>122</v>
      </c>
      <c r="E46" s="34" t="s">
        <v>217</v>
      </c>
      <c r="F46" s="34" t="s">
        <v>187</v>
      </c>
      <c r="G46" s="58">
        <v>46152</v>
      </c>
      <c r="H46" s="58"/>
      <c r="I46" s="58"/>
      <c r="J46" s="58"/>
      <c r="K46" s="59">
        <v>19.3</v>
      </c>
      <c r="L46" s="34" t="s">
        <v>221</v>
      </c>
      <c r="M46" s="34">
        <v>13</v>
      </c>
      <c r="N46" s="58">
        <v>46155</v>
      </c>
      <c r="O46" s="59">
        <v>14.3</v>
      </c>
    </row>
    <row r="47" spans="1:15" x14ac:dyDescent="0.3">
      <c r="A47" s="60">
        <v>45</v>
      </c>
      <c r="B47" s="61" t="s">
        <v>10</v>
      </c>
      <c r="C47" s="46" t="s">
        <v>10</v>
      </c>
      <c r="D47" s="62" t="s">
        <v>139</v>
      </c>
      <c r="E47" s="48" t="s">
        <v>263</v>
      </c>
      <c r="F47" s="48" t="s">
        <v>220</v>
      </c>
      <c r="G47" s="63">
        <v>46153</v>
      </c>
      <c r="H47" s="63"/>
      <c r="I47" s="63"/>
      <c r="J47" s="63"/>
      <c r="K47" s="64">
        <v>11.3</v>
      </c>
      <c r="L47" s="48" t="s">
        <v>221</v>
      </c>
      <c r="M47" s="62">
        <v>2</v>
      </c>
      <c r="N47" s="63">
        <v>46155</v>
      </c>
      <c r="O47" s="64">
        <v>14.3</v>
      </c>
    </row>
    <row r="48" spans="1:15" x14ac:dyDescent="0.3">
      <c r="A48" s="60">
        <v>46</v>
      </c>
      <c r="B48" s="61" t="s">
        <v>50</v>
      </c>
      <c r="C48" s="46" t="s">
        <v>10</v>
      </c>
      <c r="D48" s="62" t="s">
        <v>139</v>
      </c>
      <c r="E48" s="48" t="s">
        <v>263</v>
      </c>
      <c r="F48" s="48" t="s">
        <v>220</v>
      </c>
      <c r="G48" s="63">
        <v>46153</v>
      </c>
      <c r="H48" s="63"/>
      <c r="I48" s="63"/>
      <c r="J48" s="63"/>
      <c r="K48" s="64">
        <v>11.3</v>
      </c>
      <c r="L48" s="48" t="s">
        <v>221</v>
      </c>
      <c r="M48" s="62">
        <v>2</v>
      </c>
      <c r="N48" s="63">
        <v>46155</v>
      </c>
      <c r="O48" s="64">
        <v>14.3</v>
      </c>
    </row>
    <row r="49" spans="1:15" x14ac:dyDescent="0.3">
      <c r="A49" s="4">
        <v>47</v>
      </c>
      <c r="B49" s="57" t="s">
        <v>223</v>
      </c>
      <c r="C49" s="33" t="s">
        <v>222</v>
      </c>
      <c r="D49" s="34" t="s">
        <v>119</v>
      </c>
      <c r="E49" s="34" t="s">
        <v>186</v>
      </c>
      <c r="F49" s="34" t="s">
        <v>115</v>
      </c>
      <c r="G49" s="35">
        <v>46151</v>
      </c>
      <c r="H49" s="35"/>
      <c r="I49" s="35"/>
      <c r="J49" s="35"/>
      <c r="K49" s="36">
        <v>14.3</v>
      </c>
      <c r="L49" s="34" t="s">
        <v>188</v>
      </c>
      <c r="M49" s="34">
        <v>201</v>
      </c>
      <c r="N49" s="35">
        <v>46156</v>
      </c>
      <c r="O49" s="36">
        <v>9.3000000000000007</v>
      </c>
    </row>
    <row r="50" spans="1:15" x14ac:dyDescent="0.3">
      <c r="A50" s="4">
        <v>48</v>
      </c>
      <c r="B50" s="57" t="s">
        <v>51</v>
      </c>
      <c r="C50" s="33" t="s">
        <v>222</v>
      </c>
      <c r="D50" s="34" t="s">
        <v>119</v>
      </c>
      <c r="E50" s="34" t="s">
        <v>186</v>
      </c>
      <c r="F50" s="34" t="s">
        <v>115</v>
      </c>
      <c r="G50" s="35">
        <v>46151</v>
      </c>
      <c r="H50" s="35"/>
      <c r="I50" s="35"/>
      <c r="J50" s="35"/>
      <c r="K50" s="36">
        <v>14.3</v>
      </c>
      <c r="L50" s="34" t="s">
        <v>188</v>
      </c>
      <c r="M50" s="34">
        <v>201</v>
      </c>
      <c r="N50" s="35">
        <v>46156</v>
      </c>
      <c r="O50" s="36">
        <v>9.3000000000000007</v>
      </c>
    </row>
    <row r="51" spans="1:15" x14ac:dyDescent="0.3">
      <c r="A51" s="4">
        <v>49</v>
      </c>
      <c r="B51" s="57" t="s">
        <v>52</v>
      </c>
      <c r="C51" s="33" t="s">
        <v>224</v>
      </c>
      <c r="D51" s="15" t="s">
        <v>122</v>
      </c>
      <c r="E51" s="34" t="s">
        <v>229</v>
      </c>
      <c r="F51" s="34" t="s">
        <v>187</v>
      </c>
      <c r="G51" s="58">
        <v>46152</v>
      </c>
      <c r="H51" s="58"/>
      <c r="I51" s="58"/>
      <c r="J51" s="58"/>
      <c r="K51" s="59">
        <v>19.3</v>
      </c>
      <c r="L51" s="34" t="s">
        <v>188</v>
      </c>
      <c r="M51" s="34">
        <v>114</v>
      </c>
      <c r="N51" s="58">
        <v>46155</v>
      </c>
      <c r="O51" s="59">
        <v>14.3</v>
      </c>
    </row>
    <row r="52" spans="1:15" x14ac:dyDescent="0.3">
      <c r="A52" s="60">
        <v>50</v>
      </c>
      <c r="B52" s="61" t="s">
        <v>37</v>
      </c>
      <c r="C52" s="46" t="s">
        <v>224</v>
      </c>
      <c r="D52" s="62" t="s">
        <v>122</v>
      </c>
      <c r="E52" s="48" t="s">
        <v>229</v>
      </c>
      <c r="F52" s="48" t="s">
        <v>187</v>
      </c>
      <c r="G52" s="63">
        <v>46152</v>
      </c>
      <c r="H52" s="63"/>
      <c r="I52" s="63"/>
      <c r="J52" s="63"/>
      <c r="K52" s="64">
        <v>19.3</v>
      </c>
      <c r="L52" s="48" t="s">
        <v>188</v>
      </c>
      <c r="M52" s="48">
        <v>114</v>
      </c>
      <c r="N52" s="63">
        <v>46155</v>
      </c>
      <c r="O52" s="64">
        <v>14.3</v>
      </c>
    </row>
    <row r="53" spans="1:15" x14ac:dyDescent="0.3">
      <c r="A53" s="4">
        <v>51</v>
      </c>
      <c r="B53" s="57" t="s">
        <v>151</v>
      </c>
      <c r="C53" s="33" t="s">
        <v>25</v>
      </c>
      <c r="D53" s="15" t="s">
        <v>218</v>
      </c>
      <c r="E53" s="34" t="s">
        <v>219</v>
      </c>
      <c r="F53" s="34" t="s">
        <v>187</v>
      </c>
      <c r="G53" s="58">
        <v>46152</v>
      </c>
      <c r="H53" s="58"/>
      <c r="I53" s="58"/>
      <c r="J53" s="58"/>
      <c r="K53" s="59">
        <v>21.3</v>
      </c>
      <c r="L53" s="34" t="s">
        <v>188</v>
      </c>
      <c r="M53" s="34">
        <v>114</v>
      </c>
      <c r="N53" s="58">
        <v>46155</v>
      </c>
      <c r="O53" s="59">
        <v>14.3</v>
      </c>
    </row>
    <row r="54" spans="1:15" x14ac:dyDescent="0.3">
      <c r="A54" s="4">
        <v>52</v>
      </c>
      <c r="B54" s="57" t="s">
        <v>11</v>
      </c>
      <c r="C54" s="33" t="s">
        <v>11</v>
      </c>
      <c r="D54" s="15" t="s">
        <v>139</v>
      </c>
      <c r="E54" s="34" t="s">
        <v>263</v>
      </c>
      <c r="F54" s="34" t="s">
        <v>225</v>
      </c>
      <c r="G54" s="58">
        <v>46153</v>
      </c>
      <c r="H54" s="58"/>
      <c r="I54" s="58"/>
      <c r="J54" s="58"/>
      <c r="K54" s="59">
        <v>5.3</v>
      </c>
      <c r="L54" s="34" t="s">
        <v>188</v>
      </c>
      <c r="M54" s="15">
        <v>214</v>
      </c>
      <c r="N54" s="58">
        <v>46155</v>
      </c>
      <c r="O54" s="59">
        <v>14.3</v>
      </c>
    </row>
    <row r="55" spans="1:15" x14ac:dyDescent="0.3">
      <c r="A55" s="4">
        <v>53</v>
      </c>
      <c r="B55" s="57" t="s">
        <v>78</v>
      </c>
      <c r="C55" s="33" t="s">
        <v>11</v>
      </c>
      <c r="D55" s="15" t="s">
        <v>139</v>
      </c>
      <c r="E55" s="34" t="s">
        <v>263</v>
      </c>
      <c r="F55" s="34" t="s">
        <v>225</v>
      </c>
      <c r="G55" s="58">
        <v>46153</v>
      </c>
      <c r="H55" s="58"/>
      <c r="I55" s="58"/>
      <c r="J55" s="58"/>
      <c r="K55" s="59">
        <v>5.3</v>
      </c>
      <c r="L55" s="34" t="s">
        <v>188</v>
      </c>
      <c r="M55" s="15">
        <v>214</v>
      </c>
      <c r="N55" s="58">
        <v>46155</v>
      </c>
      <c r="O55" s="59">
        <v>14.3</v>
      </c>
    </row>
    <row r="56" spans="1:15" x14ac:dyDescent="0.3">
      <c r="A56" s="4">
        <v>54</v>
      </c>
      <c r="B56" s="57" t="s">
        <v>152</v>
      </c>
      <c r="C56" s="33" t="s">
        <v>11</v>
      </c>
      <c r="D56" s="15" t="s">
        <v>139</v>
      </c>
      <c r="E56" s="34" t="s">
        <v>263</v>
      </c>
      <c r="F56" s="34" t="s">
        <v>225</v>
      </c>
      <c r="G56" s="58">
        <v>46153</v>
      </c>
      <c r="H56" s="58"/>
      <c r="I56" s="58"/>
      <c r="J56" s="58"/>
      <c r="K56" s="59">
        <v>5.3</v>
      </c>
      <c r="L56" s="34" t="s">
        <v>188</v>
      </c>
      <c r="M56" s="15">
        <v>214</v>
      </c>
      <c r="N56" s="58">
        <v>46155</v>
      </c>
      <c r="O56" s="59">
        <v>14.3</v>
      </c>
    </row>
    <row r="57" spans="1:15" x14ac:dyDescent="0.3">
      <c r="A57" s="4">
        <v>55</v>
      </c>
      <c r="B57" s="57" t="s">
        <v>79</v>
      </c>
      <c r="C57" s="33" t="s">
        <v>266</v>
      </c>
      <c r="D57" s="15" t="s">
        <v>139</v>
      </c>
      <c r="E57" s="34" t="s">
        <v>264</v>
      </c>
      <c r="F57" s="34" t="s">
        <v>216</v>
      </c>
      <c r="G57" s="58">
        <v>46152</v>
      </c>
      <c r="H57" s="58"/>
      <c r="I57" s="58"/>
      <c r="J57" s="58"/>
      <c r="K57" s="59">
        <v>19.3</v>
      </c>
      <c r="L57" s="34" t="s">
        <v>188</v>
      </c>
      <c r="M57" s="15">
        <v>113</v>
      </c>
      <c r="N57" s="58">
        <v>46155</v>
      </c>
      <c r="O57" s="59">
        <v>14.3</v>
      </c>
    </row>
    <row r="58" spans="1:15" x14ac:dyDescent="0.3">
      <c r="A58" s="60">
        <v>56</v>
      </c>
      <c r="B58" s="61" t="s">
        <v>227</v>
      </c>
      <c r="C58" s="46" t="s">
        <v>23</v>
      </c>
      <c r="D58" s="62" t="s">
        <v>139</v>
      </c>
      <c r="E58" s="48" t="s">
        <v>264</v>
      </c>
      <c r="F58" s="48" t="s">
        <v>216</v>
      </c>
      <c r="G58" s="63">
        <v>46152</v>
      </c>
      <c r="H58" s="63"/>
      <c r="I58" s="63"/>
      <c r="J58" s="63"/>
      <c r="K58" s="64">
        <v>19.3</v>
      </c>
      <c r="L58" s="48" t="s">
        <v>188</v>
      </c>
      <c r="M58" s="62">
        <v>209</v>
      </c>
      <c r="N58" s="63">
        <v>46155</v>
      </c>
      <c r="O58" s="64">
        <v>14.3</v>
      </c>
    </row>
    <row r="59" spans="1:15" x14ac:dyDescent="0.3">
      <c r="A59" s="60">
        <v>57</v>
      </c>
      <c r="B59" s="61" t="s">
        <v>226</v>
      </c>
      <c r="C59" s="46" t="s">
        <v>23</v>
      </c>
      <c r="D59" s="62" t="s">
        <v>139</v>
      </c>
      <c r="E59" s="48" t="s">
        <v>264</v>
      </c>
      <c r="F59" s="48" t="s">
        <v>216</v>
      </c>
      <c r="G59" s="63">
        <v>46152</v>
      </c>
      <c r="H59" s="63"/>
      <c r="I59" s="63"/>
      <c r="J59" s="63"/>
      <c r="K59" s="64">
        <v>19.3</v>
      </c>
      <c r="L59" s="48" t="s">
        <v>188</v>
      </c>
      <c r="M59" s="62">
        <v>209</v>
      </c>
      <c r="N59" s="63">
        <v>46155</v>
      </c>
      <c r="O59" s="64">
        <v>14.3</v>
      </c>
    </row>
    <row r="60" spans="1:15" x14ac:dyDescent="0.3">
      <c r="A60" s="4">
        <v>58</v>
      </c>
      <c r="B60" s="57" t="s">
        <v>13</v>
      </c>
      <c r="C60" s="33" t="s">
        <v>107</v>
      </c>
      <c r="D60" s="15" t="s">
        <v>218</v>
      </c>
      <c r="E60" s="34" t="s">
        <v>257</v>
      </c>
      <c r="F60" s="34" t="s">
        <v>228</v>
      </c>
      <c r="G60" s="58">
        <v>46153</v>
      </c>
      <c r="H60" s="58"/>
      <c r="I60" s="58"/>
      <c r="J60" s="58"/>
      <c r="K60" s="59">
        <v>11.3</v>
      </c>
      <c r="L60" s="34" t="s">
        <v>221</v>
      </c>
      <c r="M60" s="15">
        <v>6</v>
      </c>
      <c r="N60" s="58">
        <v>46155</v>
      </c>
      <c r="O60" s="59">
        <v>14.3</v>
      </c>
    </row>
    <row r="61" spans="1:15" x14ac:dyDescent="0.3">
      <c r="A61" s="4">
        <v>59</v>
      </c>
      <c r="B61" s="57" t="s">
        <v>53</v>
      </c>
      <c r="C61" s="33" t="s">
        <v>107</v>
      </c>
      <c r="D61" s="15" t="s">
        <v>218</v>
      </c>
      <c r="E61" s="34" t="s">
        <v>257</v>
      </c>
      <c r="F61" s="34" t="s">
        <v>228</v>
      </c>
      <c r="G61" s="58">
        <v>46153</v>
      </c>
      <c r="H61" s="58"/>
      <c r="I61" s="58"/>
      <c r="J61" s="58"/>
      <c r="K61" s="59">
        <v>11.3</v>
      </c>
      <c r="L61" s="34" t="s">
        <v>221</v>
      </c>
      <c r="M61" s="15">
        <v>6</v>
      </c>
      <c r="N61" s="58">
        <v>46155</v>
      </c>
      <c r="O61" s="59">
        <v>14.3</v>
      </c>
    </row>
    <row r="62" spans="1:15" x14ac:dyDescent="0.3">
      <c r="A62" s="4">
        <v>60</v>
      </c>
      <c r="B62" s="57" t="s">
        <v>14</v>
      </c>
      <c r="C62" s="33" t="s">
        <v>14</v>
      </c>
      <c r="D62" s="15" t="s">
        <v>122</v>
      </c>
      <c r="E62" s="34" t="s">
        <v>229</v>
      </c>
      <c r="F62" s="34" t="s">
        <v>187</v>
      </c>
      <c r="G62" s="58">
        <v>46152</v>
      </c>
      <c r="H62" s="58"/>
      <c r="I62" s="58"/>
      <c r="J62" s="58"/>
      <c r="K62" s="59">
        <v>19.3</v>
      </c>
      <c r="L62" s="34" t="s">
        <v>188</v>
      </c>
      <c r="M62" s="15">
        <v>203</v>
      </c>
      <c r="N62" s="58">
        <v>46155</v>
      </c>
      <c r="O62" s="59">
        <v>14.3</v>
      </c>
    </row>
    <row r="63" spans="1:15" x14ac:dyDescent="0.3">
      <c r="A63" s="4">
        <v>61</v>
      </c>
      <c r="B63" s="57" t="s">
        <v>36</v>
      </c>
      <c r="C63" s="33" t="s">
        <v>14</v>
      </c>
      <c r="D63" s="15" t="s">
        <v>122</v>
      </c>
      <c r="E63" s="34" t="s">
        <v>229</v>
      </c>
      <c r="F63" s="34" t="s">
        <v>187</v>
      </c>
      <c r="G63" s="58">
        <v>46152</v>
      </c>
      <c r="H63" s="58"/>
      <c r="I63" s="58"/>
      <c r="J63" s="58"/>
      <c r="K63" s="59">
        <v>19.3</v>
      </c>
      <c r="L63" s="34" t="s">
        <v>188</v>
      </c>
      <c r="M63" s="15">
        <v>203</v>
      </c>
      <c r="N63" s="58">
        <v>46155</v>
      </c>
      <c r="O63" s="59">
        <v>14.3</v>
      </c>
    </row>
    <row r="64" spans="1:15" x14ac:dyDescent="0.3">
      <c r="A64" s="4">
        <v>62</v>
      </c>
      <c r="B64" s="57" t="s">
        <v>153</v>
      </c>
      <c r="C64" s="33" t="s">
        <v>14</v>
      </c>
      <c r="D64" s="15" t="s">
        <v>122</v>
      </c>
      <c r="E64" s="34" t="s">
        <v>229</v>
      </c>
      <c r="F64" s="34" t="s">
        <v>187</v>
      </c>
      <c r="G64" s="58">
        <v>46152</v>
      </c>
      <c r="H64" s="58"/>
      <c r="I64" s="58"/>
      <c r="J64" s="58"/>
      <c r="K64" s="59">
        <v>19.3</v>
      </c>
      <c r="L64" s="34" t="s">
        <v>188</v>
      </c>
      <c r="M64" s="34">
        <v>203</v>
      </c>
      <c r="N64" s="58">
        <v>46155</v>
      </c>
      <c r="O64" s="59">
        <v>14.3</v>
      </c>
    </row>
    <row r="65" spans="1:15" x14ac:dyDescent="0.3">
      <c r="A65" s="4">
        <v>63</v>
      </c>
      <c r="B65" s="57" t="s">
        <v>54</v>
      </c>
      <c r="C65" s="57" t="s">
        <v>54</v>
      </c>
      <c r="D65" s="15" t="s">
        <v>122</v>
      </c>
      <c r="E65" s="34" t="s">
        <v>212</v>
      </c>
      <c r="F65" s="34" t="s">
        <v>115</v>
      </c>
      <c r="G65" s="58">
        <v>46152</v>
      </c>
      <c r="H65" s="58"/>
      <c r="I65" s="58"/>
      <c r="J65" s="58"/>
      <c r="K65" s="59">
        <v>19.3</v>
      </c>
      <c r="L65" s="34" t="s">
        <v>188</v>
      </c>
      <c r="M65" s="15">
        <v>204</v>
      </c>
      <c r="N65" s="58">
        <v>46155</v>
      </c>
      <c r="O65" s="59">
        <v>14.3</v>
      </c>
    </row>
    <row r="66" spans="1:15" x14ac:dyDescent="0.3">
      <c r="A66" s="4">
        <v>64</v>
      </c>
      <c r="B66" s="57" t="s">
        <v>55</v>
      </c>
      <c r="C66" s="57" t="s">
        <v>54</v>
      </c>
      <c r="D66" s="15" t="s">
        <v>122</v>
      </c>
      <c r="E66" s="34" t="s">
        <v>212</v>
      </c>
      <c r="F66" s="34" t="s">
        <v>115</v>
      </c>
      <c r="G66" s="58">
        <v>46152</v>
      </c>
      <c r="H66" s="58"/>
      <c r="I66" s="58"/>
      <c r="J66" s="58"/>
      <c r="K66" s="59">
        <v>19.3</v>
      </c>
      <c r="L66" s="34" t="s">
        <v>188</v>
      </c>
      <c r="M66" s="15">
        <v>204</v>
      </c>
      <c r="N66" s="58">
        <v>46155</v>
      </c>
      <c r="O66" s="59">
        <v>14.3</v>
      </c>
    </row>
    <row r="67" spans="1:15" x14ac:dyDescent="0.3">
      <c r="A67" s="4">
        <v>65</v>
      </c>
      <c r="B67" s="57" t="s">
        <v>30</v>
      </c>
      <c r="C67" s="57" t="s">
        <v>80</v>
      </c>
      <c r="D67" s="15" t="s">
        <v>218</v>
      </c>
      <c r="E67" s="34" t="s">
        <v>258</v>
      </c>
      <c r="F67" s="34" t="s">
        <v>228</v>
      </c>
      <c r="G67" s="58">
        <v>46153</v>
      </c>
      <c r="H67" s="58"/>
      <c r="I67" s="58"/>
      <c r="J67" s="58"/>
      <c r="K67" s="59">
        <v>11.3</v>
      </c>
      <c r="L67" s="34" t="s">
        <v>221</v>
      </c>
      <c r="M67" s="15">
        <v>7</v>
      </c>
      <c r="N67" s="58">
        <v>46155</v>
      </c>
      <c r="O67" s="59">
        <v>14.3</v>
      </c>
    </row>
    <row r="68" spans="1:15" x14ac:dyDescent="0.3">
      <c r="A68" s="4">
        <v>66</v>
      </c>
      <c r="B68" s="57" t="s">
        <v>211</v>
      </c>
      <c r="C68" s="57" t="s">
        <v>80</v>
      </c>
      <c r="D68" s="15" t="s">
        <v>218</v>
      </c>
      <c r="E68" s="34" t="s">
        <v>258</v>
      </c>
      <c r="F68" s="34" t="s">
        <v>228</v>
      </c>
      <c r="G68" s="58">
        <v>46153</v>
      </c>
      <c r="H68" s="58"/>
      <c r="I68" s="58"/>
      <c r="J68" s="58"/>
      <c r="K68" s="59">
        <v>11.3</v>
      </c>
      <c r="L68" s="34" t="s">
        <v>221</v>
      </c>
      <c r="M68" s="15">
        <v>7</v>
      </c>
      <c r="N68" s="58">
        <v>46155</v>
      </c>
      <c r="O68" s="59">
        <v>14.3</v>
      </c>
    </row>
    <row r="69" spans="1:15" x14ac:dyDescent="0.3">
      <c r="A69" s="4">
        <v>67</v>
      </c>
      <c r="B69" s="57" t="s">
        <v>56</v>
      </c>
      <c r="C69" s="57" t="s">
        <v>230</v>
      </c>
      <c r="D69" s="15" t="s">
        <v>218</v>
      </c>
      <c r="E69" s="34" t="s">
        <v>259</v>
      </c>
      <c r="F69" s="34" t="s">
        <v>228</v>
      </c>
      <c r="G69" s="58">
        <v>46152</v>
      </c>
      <c r="H69" s="58"/>
      <c r="I69" s="58"/>
      <c r="J69" s="58"/>
      <c r="K69" s="59">
        <v>11.3</v>
      </c>
      <c r="L69" s="34" t="s">
        <v>188</v>
      </c>
      <c r="M69" s="15">
        <v>205</v>
      </c>
      <c r="N69" s="58">
        <v>46155</v>
      </c>
      <c r="O69" s="59">
        <v>14.3</v>
      </c>
    </row>
    <row r="70" spans="1:15" x14ac:dyDescent="0.3">
      <c r="A70" s="4">
        <v>68</v>
      </c>
      <c r="B70" s="57" t="s">
        <v>57</v>
      </c>
      <c r="C70" s="57" t="s">
        <v>230</v>
      </c>
      <c r="D70" s="15" t="s">
        <v>218</v>
      </c>
      <c r="E70" s="34" t="s">
        <v>259</v>
      </c>
      <c r="F70" s="34" t="s">
        <v>228</v>
      </c>
      <c r="G70" s="58">
        <v>46152</v>
      </c>
      <c r="H70" s="58"/>
      <c r="I70" s="58"/>
      <c r="J70" s="58"/>
      <c r="K70" s="59">
        <v>11.3</v>
      </c>
      <c r="L70" s="34" t="s">
        <v>188</v>
      </c>
      <c r="M70" s="15">
        <v>205</v>
      </c>
      <c r="N70" s="58">
        <v>46155</v>
      </c>
      <c r="O70" s="59">
        <v>14.3</v>
      </c>
    </row>
    <row r="71" spans="1:15" x14ac:dyDescent="0.3">
      <c r="A71" s="4">
        <v>69</v>
      </c>
      <c r="B71" s="57" t="s">
        <v>26</v>
      </c>
      <c r="C71" s="57" t="s">
        <v>230</v>
      </c>
      <c r="D71" s="15" t="s">
        <v>218</v>
      </c>
      <c r="E71" s="34" t="s">
        <v>259</v>
      </c>
      <c r="F71" s="34" t="s">
        <v>228</v>
      </c>
      <c r="G71" s="58">
        <v>46152</v>
      </c>
      <c r="H71" s="58"/>
      <c r="I71" s="58"/>
      <c r="J71" s="58"/>
      <c r="K71" s="59">
        <v>11.3</v>
      </c>
      <c r="L71" s="34" t="s">
        <v>188</v>
      </c>
      <c r="M71" s="15">
        <v>205</v>
      </c>
      <c r="N71" s="58">
        <v>46155</v>
      </c>
      <c r="O71" s="59">
        <v>14.3</v>
      </c>
    </row>
    <row r="72" spans="1:15" x14ac:dyDescent="0.3">
      <c r="A72" s="4">
        <v>70</v>
      </c>
      <c r="B72" s="57" t="s">
        <v>58</v>
      </c>
      <c r="C72" s="57" t="s">
        <v>168</v>
      </c>
      <c r="D72" s="15" t="s">
        <v>139</v>
      </c>
      <c r="E72" s="34" t="s">
        <v>228</v>
      </c>
      <c r="F72" s="34" t="s">
        <v>216</v>
      </c>
      <c r="G72" s="58">
        <v>46153</v>
      </c>
      <c r="H72" s="58"/>
      <c r="I72" s="58"/>
      <c r="J72" s="58"/>
      <c r="K72" s="59">
        <v>11.3</v>
      </c>
      <c r="L72" s="34" t="s">
        <v>221</v>
      </c>
      <c r="M72" s="15">
        <v>8</v>
      </c>
      <c r="N72" s="58">
        <v>46155</v>
      </c>
      <c r="O72" s="59">
        <v>14.3</v>
      </c>
    </row>
    <row r="73" spans="1:15" x14ac:dyDescent="0.3">
      <c r="A73" s="4">
        <v>71</v>
      </c>
      <c r="B73" s="57" t="s">
        <v>168</v>
      </c>
      <c r="C73" s="57" t="s">
        <v>168</v>
      </c>
      <c r="D73" s="15" t="s">
        <v>139</v>
      </c>
      <c r="E73" s="34" t="s">
        <v>228</v>
      </c>
      <c r="F73" s="34" t="s">
        <v>216</v>
      </c>
      <c r="G73" s="58">
        <v>46153</v>
      </c>
      <c r="H73" s="58"/>
      <c r="I73" s="58"/>
      <c r="J73" s="58"/>
      <c r="K73" s="59">
        <v>11.3</v>
      </c>
      <c r="L73" s="34" t="s">
        <v>221</v>
      </c>
      <c r="M73" s="15">
        <v>8</v>
      </c>
      <c r="N73" s="58">
        <v>46155</v>
      </c>
      <c r="O73" s="59">
        <v>14.3</v>
      </c>
    </row>
    <row r="74" spans="1:15" x14ac:dyDescent="0.3">
      <c r="A74" s="4">
        <v>72</v>
      </c>
      <c r="B74" s="57" t="s">
        <v>59</v>
      </c>
      <c r="C74" s="57" t="s">
        <v>231</v>
      </c>
      <c r="D74" s="15" t="s">
        <v>218</v>
      </c>
      <c r="E74" s="34" t="s">
        <v>261</v>
      </c>
      <c r="F74" s="34" t="s">
        <v>187</v>
      </c>
      <c r="G74" s="58">
        <v>46153</v>
      </c>
      <c r="H74" s="58"/>
      <c r="I74" s="58"/>
      <c r="J74" s="58"/>
      <c r="K74" s="59">
        <v>11.3</v>
      </c>
      <c r="L74" s="34" t="s">
        <v>221</v>
      </c>
      <c r="M74" s="15">
        <v>9</v>
      </c>
      <c r="N74" s="58">
        <v>46154</v>
      </c>
      <c r="O74" s="59">
        <v>18.3</v>
      </c>
    </row>
    <row r="75" spans="1:15" x14ac:dyDescent="0.3">
      <c r="A75" s="4">
        <v>73</v>
      </c>
      <c r="B75" s="57" t="s">
        <v>265</v>
      </c>
      <c r="C75" s="57" t="s">
        <v>231</v>
      </c>
      <c r="D75" s="15" t="s">
        <v>218</v>
      </c>
      <c r="E75" s="34" t="s">
        <v>261</v>
      </c>
      <c r="F75" s="34" t="s">
        <v>187</v>
      </c>
      <c r="G75" s="58">
        <v>46153</v>
      </c>
      <c r="H75" s="58"/>
      <c r="I75" s="58"/>
      <c r="J75" s="58"/>
      <c r="K75" s="59">
        <v>11.3</v>
      </c>
      <c r="L75" s="34" t="s">
        <v>221</v>
      </c>
      <c r="M75" s="15">
        <v>9</v>
      </c>
      <c r="N75" s="58">
        <v>46154</v>
      </c>
      <c r="O75" s="59">
        <v>18.3</v>
      </c>
    </row>
    <row r="76" spans="1:15" x14ac:dyDescent="0.3">
      <c r="A76" s="4">
        <v>74</v>
      </c>
      <c r="B76" s="57" t="s">
        <v>267</v>
      </c>
      <c r="C76" s="57" t="s">
        <v>266</v>
      </c>
      <c r="D76" s="15" t="s">
        <v>218</v>
      </c>
      <c r="E76" s="34" t="s">
        <v>261</v>
      </c>
      <c r="F76" s="34" t="s">
        <v>187</v>
      </c>
      <c r="G76" s="58">
        <v>46153</v>
      </c>
      <c r="H76" s="58"/>
      <c r="I76" s="58"/>
      <c r="J76" s="58"/>
      <c r="K76" s="59">
        <v>11.3</v>
      </c>
      <c r="L76" s="34" t="s">
        <v>221</v>
      </c>
      <c r="M76" s="15">
        <v>10</v>
      </c>
      <c r="N76" s="58">
        <v>46154</v>
      </c>
      <c r="O76" s="59">
        <v>18.3</v>
      </c>
    </row>
    <row r="77" spans="1:15" x14ac:dyDescent="0.3">
      <c r="A77" s="4">
        <v>75</v>
      </c>
      <c r="B77" s="57" t="s">
        <v>60</v>
      </c>
      <c r="C77" s="57" t="s">
        <v>232</v>
      </c>
      <c r="D77" s="15" t="s">
        <v>233</v>
      </c>
      <c r="E77" s="15" t="s">
        <v>233</v>
      </c>
      <c r="F77" s="34" t="s">
        <v>228</v>
      </c>
      <c r="G77" s="58">
        <v>46153</v>
      </c>
      <c r="H77" s="58"/>
      <c r="I77" s="58"/>
      <c r="J77" s="58"/>
      <c r="K77" s="59">
        <v>17.3</v>
      </c>
      <c r="L77" s="34" t="s">
        <v>221</v>
      </c>
      <c r="M77" s="15">
        <v>11</v>
      </c>
      <c r="N77" s="58">
        <v>46155</v>
      </c>
      <c r="O77" s="59">
        <v>14.3</v>
      </c>
    </row>
    <row r="78" spans="1:15" x14ac:dyDescent="0.3">
      <c r="A78" s="4">
        <v>76</v>
      </c>
      <c r="B78" s="57" t="s">
        <v>61</v>
      </c>
      <c r="C78" s="57" t="s">
        <v>232</v>
      </c>
      <c r="D78" s="15" t="s">
        <v>233</v>
      </c>
      <c r="E78" s="15" t="s">
        <v>233</v>
      </c>
      <c r="F78" s="34" t="s">
        <v>228</v>
      </c>
      <c r="G78" s="58">
        <v>46153</v>
      </c>
      <c r="H78" s="58"/>
      <c r="I78" s="58"/>
      <c r="J78" s="58"/>
      <c r="K78" s="59">
        <v>17.3</v>
      </c>
      <c r="L78" s="34" t="s">
        <v>221</v>
      </c>
      <c r="M78" s="15">
        <v>11</v>
      </c>
      <c r="N78" s="58">
        <v>46155</v>
      </c>
      <c r="O78" s="59">
        <v>14.3</v>
      </c>
    </row>
    <row r="79" spans="1:15" x14ac:dyDescent="0.3">
      <c r="A79" s="4">
        <v>77</v>
      </c>
      <c r="B79" s="57" t="s">
        <v>18</v>
      </c>
      <c r="C79" s="57" t="s">
        <v>17</v>
      </c>
      <c r="D79" s="15" t="s">
        <v>213</v>
      </c>
      <c r="E79" s="34" t="s">
        <v>228</v>
      </c>
      <c r="F79" s="34" t="s">
        <v>234</v>
      </c>
      <c r="G79" s="58">
        <v>46153</v>
      </c>
      <c r="H79" s="58"/>
      <c r="I79" s="58"/>
      <c r="J79" s="58"/>
      <c r="K79" s="59">
        <v>15.3</v>
      </c>
      <c r="L79" s="34" t="s">
        <v>221</v>
      </c>
      <c r="M79" s="15">
        <v>20</v>
      </c>
      <c r="N79" s="58">
        <v>46155</v>
      </c>
      <c r="O79" s="59">
        <v>14.3</v>
      </c>
    </row>
    <row r="80" spans="1:15" x14ac:dyDescent="0.3">
      <c r="A80" s="4">
        <v>78</v>
      </c>
      <c r="B80" s="57" t="s">
        <v>17</v>
      </c>
      <c r="C80" s="57" t="s">
        <v>17</v>
      </c>
      <c r="D80" s="15" t="s">
        <v>213</v>
      </c>
      <c r="E80" s="34" t="s">
        <v>228</v>
      </c>
      <c r="F80" s="34" t="s">
        <v>234</v>
      </c>
      <c r="G80" s="58">
        <v>46153</v>
      </c>
      <c r="H80" s="58"/>
      <c r="I80" s="58"/>
      <c r="J80" s="58"/>
      <c r="K80" s="59">
        <v>15.3</v>
      </c>
      <c r="L80" s="34" t="s">
        <v>221</v>
      </c>
      <c r="M80" s="15">
        <v>20</v>
      </c>
      <c r="N80" s="58">
        <v>46155</v>
      </c>
      <c r="O80" s="59">
        <v>14.3</v>
      </c>
    </row>
    <row r="81" spans="1:15" x14ac:dyDescent="0.3">
      <c r="A81" s="4">
        <v>79</v>
      </c>
      <c r="B81" s="57" t="s">
        <v>154</v>
      </c>
      <c r="C81" s="33" t="s">
        <v>154</v>
      </c>
      <c r="D81" s="15" t="s">
        <v>122</v>
      </c>
      <c r="E81" s="34" t="s">
        <v>217</v>
      </c>
      <c r="F81" s="34" t="s">
        <v>187</v>
      </c>
      <c r="G81" s="58">
        <v>46152</v>
      </c>
      <c r="H81" s="58"/>
      <c r="I81" s="58"/>
      <c r="J81" s="58"/>
      <c r="K81" s="59">
        <v>19.3</v>
      </c>
      <c r="L81" s="34" t="s">
        <v>188</v>
      </c>
      <c r="M81" s="34">
        <v>206</v>
      </c>
      <c r="N81" s="58">
        <v>46155</v>
      </c>
      <c r="O81" s="59">
        <v>14.3</v>
      </c>
    </row>
    <row r="82" spans="1:15" x14ac:dyDescent="0.3">
      <c r="A82" s="4">
        <v>80</v>
      </c>
      <c r="B82" s="57" t="s">
        <v>62</v>
      </c>
      <c r="C82" s="33" t="s">
        <v>154</v>
      </c>
      <c r="D82" s="15" t="s">
        <v>122</v>
      </c>
      <c r="E82" s="34" t="s">
        <v>217</v>
      </c>
      <c r="F82" s="34" t="s">
        <v>187</v>
      </c>
      <c r="G82" s="58">
        <v>46152</v>
      </c>
      <c r="H82" s="58"/>
      <c r="I82" s="58"/>
      <c r="J82" s="58"/>
      <c r="K82" s="59">
        <v>19.3</v>
      </c>
      <c r="L82" s="34" t="s">
        <v>188</v>
      </c>
      <c r="M82" s="34">
        <v>206</v>
      </c>
      <c r="N82" s="58">
        <v>46155</v>
      </c>
      <c r="O82" s="59">
        <v>14.3</v>
      </c>
    </row>
    <row r="83" spans="1:15" x14ac:dyDescent="0.3">
      <c r="A83" s="4">
        <v>81</v>
      </c>
      <c r="B83" s="57" t="s">
        <v>29</v>
      </c>
      <c r="C83" s="57" t="s">
        <v>235</v>
      </c>
      <c r="D83" s="15" t="s">
        <v>218</v>
      </c>
      <c r="E83" s="34" t="s">
        <v>257</v>
      </c>
      <c r="F83" s="34" t="s">
        <v>228</v>
      </c>
      <c r="G83" s="58">
        <v>46153</v>
      </c>
      <c r="H83" s="58"/>
      <c r="I83" s="58"/>
      <c r="J83" s="58"/>
      <c r="K83" s="59">
        <v>11.3</v>
      </c>
      <c r="L83" s="34" t="s">
        <v>221</v>
      </c>
      <c r="M83" s="15">
        <v>12</v>
      </c>
      <c r="N83" s="58">
        <v>46155</v>
      </c>
      <c r="O83" s="59">
        <v>14.3</v>
      </c>
    </row>
    <row r="84" spans="1:15" x14ac:dyDescent="0.3">
      <c r="A84" s="4">
        <v>82</v>
      </c>
      <c r="B84" s="57" t="s">
        <v>63</v>
      </c>
      <c r="C84" s="57" t="s">
        <v>235</v>
      </c>
      <c r="D84" s="15" t="s">
        <v>218</v>
      </c>
      <c r="E84" s="34" t="s">
        <v>257</v>
      </c>
      <c r="F84" s="34" t="s">
        <v>228</v>
      </c>
      <c r="G84" s="58">
        <v>46153</v>
      </c>
      <c r="H84" s="58"/>
      <c r="I84" s="58"/>
      <c r="J84" s="58"/>
      <c r="K84" s="59">
        <v>11.3</v>
      </c>
      <c r="L84" s="34" t="s">
        <v>221</v>
      </c>
      <c r="M84" s="15">
        <v>12</v>
      </c>
      <c r="N84" s="58">
        <v>46155</v>
      </c>
      <c r="O84" s="59">
        <v>14.3</v>
      </c>
    </row>
    <row r="85" spans="1:15" x14ac:dyDescent="0.3">
      <c r="A85" s="4">
        <v>83</v>
      </c>
      <c r="B85" s="57" t="s">
        <v>12</v>
      </c>
      <c r="C85" s="57" t="s">
        <v>193</v>
      </c>
      <c r="D85" s="15" t="s">
        <v>122</v>
      </c>
      <c r="E85" s="34" t="s">
        <v>229</v>
      </c>
      <c r="F85" s="34" t="s">
        <v>187</v>
      </c>
      <c r="G85" s="58">
        <v>46152</v>
      </c>
      <c r="H85" s="58"/>
      <c r="I85" s="58"/>
      <c r="J85" s="58"/>
      <c r="K85" s="59">
        <v>19.3</v>
      </c>
      <c r="L85" s="34" t="s">
        <v>188</v>
      </c>
      <c r="M85" s="34">
        <v>210</v>
      </c>
      <c r="N85" s="58">
        <v>46155</v>
      </c>
      <c r="O85" s="59">
        <v>14.3</v>
      </c>
    </row>
    <row r="86" spans="1:15" x14ac:dyDescent="0.3">
      <c r="A86" s="4">
        <v>84</v>
      </c>
      <c r="B86" s="57" t="s">
        <v>64</v>
      </c>
      <c r="C86" s="57" t="s">
        <v>193</v>
      </c>
      <c r="D86" s="15" t="s">
        <v>122</v>
      </c>
      <c r="E86" s="34" t="s">
        <v>229</v>
      </c>
      <c r="F86" s="34" t="s">
        <v>187</v>
      </c>
      <c r="G86" s="58">
        <v>46152</v>
      </c>
      <c r="H86" s="58"/>
      <c r="I86" s="58"/>
      <c r="J86" s="58"/>
      <c r="K86" s="59">
        <v>19.3</v>
      </c>
      <c r="L86" s="34" t="s">
        <v>188</v>
      </c>
      <c r="M86" s="34">
        <v>210</v>
      </c>
      <c r="N86" s="58">
        <v>46155</v>
      </c>
      <c r="O86" s="59">
        <v>14.3</v>
      </c>
    </row>
    <row r="87" spans="1:15" x14ac:dyDescent="0.3">
      <c r="A87" s="4">
        <v>85</v>
      </c>
      <c r="B87" s="57" t="s">
        <v>16</v>
      </c>
      <c r="C87" s="57" t="s">
        <v>236</v>
      </c>
      <c r="D87" s="15" t="s">
        <v>139</v>
      </c>
      <c r="E87" s="34" t="s">
        <v>263</v>
      </c>
      <c r="F87" s="34" t="s">
        <v>237</v>
      </c>
      <c r="G87" s="58">
        <v>46152</v>
      </c>
      <c r="H87" s="58"/>
      <c r="I87" s="58"/>
      <c r="J87" s="58"/>
      <c r="K87" s="59">
        <v>9.3000000000000007</v>
      </c>
      <c r="L87" s="34" t="s">
        <v>221</v>
      </c>
      <c r="M87" s="34">
        <v>14</v>
      </c>
      <c r="N87" s="58">
        <v>46155</v>
      </c>
      <c r="O87" s="59">
        <v>14.3</v>
      </c>
    </row>
    <row r="88" spans="1:15" x14ac:dyDescent="0.3">
      <c r="A88" s="4">
        <v>86</v>
      </c>
      <c r="B88" s="57" t="s">
        <v>65</v>
      </c>
      <c r="C88" s="57" t="s">
        <v>236</v>
      </c>
      <c r="D88" s="15" t="s">
        <v>139</v>
      </c>
      <c r="E88" s="34" t="s">
        <v>263</v>
      </c>
      <c r="F88" s="34" t="s">
        <v>237</v>
      </c>
      <c r="G88" s="58">
        <v>46152</v>
      </c>
      <c r="H88" s="58"/>
      <c r="I88" s="58"/>
      <c r="J88" s="58"/>
      <c r="K88" s="59">
        <v>9.3000000000000007</v>
      </c>
      <c r="L88" s="34" t="s">
        <v>221</v>
      </c>
      <c r="M88" s="34">
        <v>14</v>
      </c>
      <c r="N88" s="58">
        <v>46155</v>
      </c>
      <c r="O88" s="59">
        <v>14.3</v>
      </c>
    </row>
    <row r="89" spans="1:15" x14ac:dyDescent="0.3">
      <c r="A89" s="4">
        <v>87</v>
      </c>
      <c r="B89" s="57" t="s">
        <v>27</v>
      </c>
      <c r="C89" s="57" t="s">
        <v>238</v>
      </c>
      <c r="D89" s="15" t="s">
        <v>122</v>
      </c>
      <c r="E89" s="34" t="s">
        <v>217</v>
      </c>
      <c r="F89" s="34" t="s">
        <v>187</v>
      </c>
      <c r="G89" s="58">
        <v>46152</v>
      </c>
      <c r="H89" s="58"/>
      <c r="I89" s="58"/>
      <c r="J89" s="58"/>
      <c r="K89" s="59">
        <v>19.3</v>
      </c>
      <c r="L89" s="34" t="s">
        <v>221</v>
      </c>
      <c r="M89" s="34">
        <v>15</v>
      </c>
      <c r="N89" s="58">
        <v>46155</v>
      </c>
      <c r="O89" s="59">
        <v>14.3</v>
      </c>
    </row>
    <row r="90" spans="1:15" x14ac:dyDescent="0.3">
      <c r="A90" s="4">
        <v>88</v>
      </c>
      <c r="B90" s="57" t="s">
        <v>66</v>
      </c>
      <c r="C90" s="57" t="s">
        <v>238</v>
      </c>
      <c r="D90" s="15" t="s">
        <v>122</v>
      </c>
      <c r="E90" s="34" t="s">
        <v>217</v>
      </c>
      <c r="F90" s="34" t="s">
        <v>187</v>
      </c>
      <c r="G90" s="58">
        <v>46152</v>
      </c>
      <c r="H90" s="58"/>
      <c r="I90" s="58"/>
      <c r="J90" s="58"/>
      <c r="K90" s="59">
        <v>19.3</v>
      </c>
      <c r="L90" s="34" t="s">
        <v>221</v>
      </c>
      <c r="M90" s="34">
        <v>15</v>
      </c>
      <c r="N90" s="58">
        <v>46155</v>
      </c>
      <c r="O90" s="59">
        <v>14.3</v>
      </c>
    </row>
    <row r="91" spans="1:15" x14ac:dyDescent="0.3">
      <c r="A91" s="4">
        <v>89</v>
      </c>
      <c r="B91" s="57" t="s">
        <v>67</v>
      </c>
      <c r="C91" s="57" t="s">
        <v>239</v>
      </c>
      <c r="D91" s="15" t="s">
        <v>119</v>
      </c>
      <c r="E91" s="34" t="s">
        <v>240</v>
      </c>
      <c r="F91" s="34" t="s">
        <v>115</v>
      </c>
      <c r="G91" s="58">
        <v>46152</v>
      </c>
      <c r="H91" s="58"/>
      <c r="I91" s="58"/>
      <c r="J91" s="58"/>
      <c r="K91" s="59">
        <v>19.3</v>
      </c>
      <c r="L91" s="34" t="s">
        <v>221</v>
      </c>
      <c r="M91" s="34">
        <v>21</v>
      </c>
      <c r="N91" s="58">
        <v>46155</v>
      </c>
      <c r="O91" s="59">
        <v>14.3</v>
      </c>
    </row>
    <row r="92" spans="1:15" x14ac:dyDescent="0.3">
      <c r="A92" s="4">
        <v>90</v>
      </c>
      <c r="B92" s="57" t="s">
        <v>272</v>
      </c>
      <c r="C92" s="57" t="s">
        <v>239</v>
      </c>
      <c r="D92" s="15" t="s">
        <v>119</v>
      </c>
      <c r="E92" s="34" t="s">
        <v>240</v>
      </c>
      <c r="F92" s="34" t="s">
        <v>115</v>
      </c>
      <c r="G92" s="58">
        <v>46152</v>
      </c>
      <c r="H92" s="58"/>
      <c r="I92" s="58"/>
      <c r="J92" s="58"/>
      <c r="K92" s="59">
        <v>19.3</v>
      </c>
      <c r="L92" s="34" t="s">
        <v>221</v>
      </c>
      <c r="M92" s="34">
        <v>21</v>
      </c>
      <c r="N92" s="58">
        <v>46155</v>
      </c>
      <c r="O92" s="59">
        <v>14.3</v>
      </c>
    </row>
    <row r="93" spans="1:15" x14ac:dyDescent="0.3">
      <c r="A93" s="4">
        <v>91</v>
      </c>
      <c r="B93" s="57" t="s">
        <v>111</v>
      </c>
      <c r="C93" s="57" t="s">
        <v>239</v>
      </c>
      <c r="D93" s="15" t="s">
        <v>119</v>
      </c>
      <c r="E93" s="34" t="s">
        <v>240</v>
      </c>
      <c r="F93" s="34" t="s">
        <v>115</v>
      </c>
      <c r="G93" s="58">
        <v>46152</v>
      </c>
      <c r="H93" s="58"/>
      <c r="I93" s="58"/>
      <c r="J93" s="58"/>
      <c r="K93" s="59">
        <v>19.3</v>
      </c>
      <c r="L93" s="34" t="s">
        <v>221</v>
      </c>
      <c r="M93" s="34">
        <v>21</v>
      </c>
      <c r="N93" s="58">
        <v>46155</v>
      </c>
      <c r="O93" s="59">
        <v>14.3</v>
      </c>
    </row>
    <row r="94" spans="1:15" x14ac:dyDescent="0.3">
      <c r="A94" s="60">
        <v>92</v>
      </c>
      <c r="B94" s="61" t="s">
        <v>68</v>
      </c>
      <c r="C94" s="61" t="s">
        <v>241</v>
      </c>
      <c r="D94" s="62" t="s">
        <v>122</v>
      </c>
      <c r="E94" s="48" t="s">
        <v>229</v>
      </c>
      <c r="F94" s="48" t="s">
        <v>187</v>
      </c>
      <c r="G94" s="63">
        <v>46152</v>
      </c>
      <c r="H94" s="63"/>
      <c r="I94" s="63"/>
      <c r="J94" s="63"/>
      <c r="K94" s="64">
        <v>19.3</v>
      </c>
      <c r="L94" s="48" t="s">
        <v>188</v>
      </c>
      <c r="M94" s="48">
        <v>207</v>
      </c>
      <c r="N94" s="63">
        <v>46155</v>
      </c>
      <c r="O94" s="64">
        <v>14.3</v>
      </c>
    </row>
    <row r="95" spans="1:15" x14ac:dyDescent="0.3">
      <c r="A95" s="60">
        <v>93</v>
      </c>
      <c r="B95" s="61" t="s">
        <v>69</v>
      </c>
      <c r="C95" s="61" t="s">
        <v>241</v>
      </c>
      <c r="D95" s="62" t="s">
        <v>122</v>
      </c>
      <c r="E95" s="48" t="s">
        <v>229</v>
      </c>
      <c r="F95" s="48" t="s">
        <v>187</v>
      </c>
      <c r="G95" s="63">
        <v>46152</v>
      </c>
      <c r="H95" s="63"/>
      <c r="I95" s="63"/>
      <c r="J95" s="63"/>
      <c r="K95" s="64">
        <v>19.3</v>
      </c>
      <c r="L95" s="48" t="s">
        <v>188</v>
      </c>
      <c r="M95" s="48">
        <v>207</v>
      </c>
      <c r="N95" s="63">
        <v>46155</v>
      </c>
      <c r="O95" s="64">
        <v>14.3</v>
      </c>
    </row>
    <row r="96" spans="1:15" x14ac:dyDescent="0.3">
      <c r="A96" s="4">
        <v>94</v>
      </c>
      <c r="B96" s="57" t="s">
        <v>70</v>
      </c>
      <c r="C96" s="57" t="s">
        <v>242</v>
      </c>
      <c r="D96" s="15" t="s">
        <v>213</v>
      </c>
      <c r="E96" s="34" t="s">
        <v>262</v>
      </c>
      <c r="F96" s="34" t="s">
        <v>237</v>
      </c>
      <c r="G96" s="58">
        <v>46152</v>
      </c>
      <c r="H96" s="58"/>
      <c r="I96" s="58"/>
      <c r="J96" s="58"/>
      <c r="K96" s="59">
        <v>14</v>
      </c>
      <c r="L96" s="15" t="s">
        <v>221</v>
      </c>
      <c r="M96" s="15">
        <v>16</v>
      </c>
      <c r="N96" s="58">
        <v>46155</v>
      </c>
      <c r="O96" s="59">
        <v>14.3</v>
      </c>
    </row>
    <row r="97" spans="1:15" x14ac:dyDescent="0.3">
      <c r="A97" s="4">
        <v>95</v>
      </c>
      <c r="B97" s="57" t="s">
        <v>243</v>
      </c>
      <c r="C97" s="57" t="s">
        <v>242</v>
      </c>
      <c r="D97" s="15" t="s">
        <v>213</v>
      </c>
      <c r="E97" s="34" t="s">
        <v>262</v>
      </c>
      <c r="F97" s="34" t="s">
        <v>237</v>
      </c>
      <c r="G97" s="58">
        <v>46152</v>
      </c>
      <c r="H97" s="58"/>
      <c r="I97" s="58"/>
      <c r="J97" s="58"/>
      <c r="K97" s="59">
        <v>14</v>
      </c>
      <c r="L97" s="15" t="s">
        <v>221</v>
      </c>
      <c r="M97" s="15">
        <v>16</v>
      </c>
      <c r="N97" s="58">
        <v>46155</v>
      </c>
      <c r="O97" s="59">
        <v>14.3</v>
      </c>
    </row>
    <row r="98" spans="1:15" x14ac:dyDescent="0.3">
      <c r="A98" s="4">
        <v>96</v>
      </c>
      <c r="B98" s="57" t="s">
        <v>71</v>
      </c>
      <c r="C98" s="57" t="s">
        <v>245</v>
      </c>
      <c r="D98" s="15" t="s">
        <v>122</v>
      </c>
      <c r="E98" s="34" t="s">
        <v>229</v>
      </c>
      <c r="F98" s="34" t="s">
        <v>187</v>
      </c>
      <c r="G98" s="58">
        <v>46152</v>
      </c>
      <c r="H98" s="58"/>
      <c r="I98" s="58"/>
      <c r="J98" s="58"/>
      <c r="K98" s="59">
        <v>19.3</v>
      </c>
      <c r="L98" s="34" t="s">
        <v>221</v>
      </c>
      <c r="M98" s="34">
        <v>17</v>
      </c>
      <c r="N98" s="58">
        <v>46155</v>
      </c>
      <c r="O98" s="59">
        <v>14.3</v>
      </c>
    </row>
    <row r="99" spans="1:15" x14ac:dyDescent="0.3">
      <c r="A99" s="4">
        <v>97</v>
      </c>
      <c r="B99" s="57" t="s">
        <v>244</v>
      </c>
      <c r="C99" s="57" t="s">
        <v>245</v>
      </c>
      <c r="D99" s="15" t="s">
        <v>122</v>
      </c>
      <c r="E99" s="34" t="s">
        <v>229</v>
      </c>
      <c r="F99" s="34" t="s">
        <v>187</v>
      </c>
      <c r="G99" s="58">
        <v>46152</v>
      </c>
      <c r="H99" s="58"/>
      <c r="I99" s="58"/>
      <c r="J99" s="58"/>
      <c r="K99" s="59">
        <v>19.3</v>
      </c>
      <c r="L99" s="34" t="s">
        <v>221</v>
      </c>
      <c r="M99" s="34">
        <v>17</v>
      </c>
      <c r="N99" s="58">
        <v>46155</v>
      </c>
      <c r="O99" s="59">
        <v>14.3</v>
      </c>
    </row>
    <row r="100" spans="1:15" x14ac:dyDescent="0.3">
      <c r="A100" s="4">
        <v>98</v>
      </c>
      <c r="B100" s="57" t="s">
        <v>268</v>
      </c>
      <c r="C100" s="57" t="s">
        <v>242</v>
      </c>
      <c r="D100" s="15" t="s">
        <v>213</v>
      </c>
      <c r="E100" s="34" t="s">
        <v>262</v>
      </c>
      <c r="F100" s="34" t="s">
        <v>237</v>
      </c>
      <c r="G100" s="58">
        <v>46152</v>
      </c>
      <c r="H100" s="58"/>
      <c r="I100" s="58"/>
      <c r="J100" s="58"/>
      <c r="K100" s="59">
        <v>14</v>
      </c>
      <c r="L100" s="15" t="s">
        <v>221</v>
      </c>
      <c r="M100" s="15">
        <v>17</v>
      </c>
      <c r="N100" s="58">
        <v>46155</v>
      </c>
      <c r="O100" s="59">
        <v>14.3</v>
      </c>
    </row>
    <row r="101" spans="1:15" x14ac:dyDescent="0.3">
      <c r="A101" s="4">
        <v>99</v>
      </c>
      <c r="B101" s="57" t="s">
        <v>72</v>
      </c>
      <c r="C101" s="57" t="s">
        <v>246</v>
      </c>
      <c r="D101" s="15" t="s">
        <v>218</v>
      </c>
      <c r="E101" s="34" t="s">
        <v>260</v>
      </c>
      <c r="F101" s="34" t="s">
        <v>185</v>
      </c>
      <c r="G101" s="58">
        <v>46152</v>
      </c>
      <c r="H101" s="58"/>
      <c r="I101" s="58"/>
      <c r="J101" s="58"/>
      <c r="K101" s="59">
        <v>19.3</v>
      </c>
      <c r="L101" s="34" t="s">
        <v>188</v>
      </c>
      <c r="M101" s="15">
        <v>208</v>
      </c>
      <c r="N101" s="58">
        <v>46155</v>
      </c>
      <c r="O101" s="59">
        <v>14.3</v>
      </c>
    </row>
    <row r="102" spans="1:15" x14ac:dyDescent="0.3">
      <c r="A102" s="4">
        <v>100</v>
      </c>
      <c r="B102" s="57" t="s">
        <v>15</v>
      </c>
      <c r="C102" s="57" t="s">
        <v>246</v>
      </c>
      <c r="D102" s="15" t="s">
        <v>218</v>
      </c>
      <c r="E102" s="34" t="s">
        <v>260</v>
      </c>
      <c r="F102" s="34" t="s">
        <v>185</v>
      </c>
      <c r="G102" s="58">
        <v>46152</v>
      </c>
      <c r="H102" s="58"/>
      <c r="I102" s="58"/>
      <c r="J102" s="58"/>
      <c r="K102" s="59">
        <v>19.3</v>
      </c>
      <c r="L102" s="34" t="s">
        <v>188</v>
      </c>
      <c r="M102" s="15">
        <v>208</v>
      </c>
      <c r="N102" s="58">
        <v>46155</v>
      </c>
      <c r="O102" s="59">
        <v>14.3</v>
      </c>
    </row>
    <row r="103" spans="1:15" x14ac:dyDescent="0.3">
      <c r="A103" s="4">
        <v>101</v>
      </c>
      <c r="B103" s="57" t="s">
        <v>155</v>
      </c>
      <c r="C103" s="57" t="s">
        <v>246</v>
      </c>
      <c r="D103" s="15" t="s">
        <v>218</v>
      </c>
      <c r="E103" s="34" t="s">
        <v>260</v>
      </c>
      <c r="F103" s="34" t="s">
        <v>185</v>
      </c>
      <c r="G103" s="58">
        <v>46152</v>
      </c>
      <c r="H103" s="58"/>
      <c r="I103" s="58"/>
      <c r="J103" s="58"/>
      <c r="K103" s="59">
        <v>19.3</v>
      </c>
      <c r="L103" s="34" t="s">
        <v>188</v>
      </c>
      <c r="M103" s="15">
        <v>213</v>
      </c>
      <c r="N103" s="58">
        <v>46155</v>
      </c>
      <c r="O103" s="59">
        <v>14.3</v>
      </c>
    </row>
    <row r="104" spans="1:15" x14ac:dyDescent="0.3">
      <c r="A104" s="4">
        <v>102</v>
      </c>
      <c r="B104" s="57" t="s">
        <v>156</v>
      </c>
      <c r="C104" s="57" t="s">
        <v>246</v>
      </c>
      <c r="D104" s="15" t="s">
        <v>218</v>
      </c>
      <c r="E104" s="34" t="s">
        <v>260</v>
      </c>
      <c r="F104" s="34" t="s">
        <v>185</v>
      </c>
      <c r="G104" s="58">
        <v>46152</v>
      </c>
      <c r="H104" s="58"/>
      <c r="I104" s="58"/>
      <c r="J104" s="58"/>
      <c r="K104" s="59">
        <v>19.3</v>
      </c>
      <c r="L104" s="34" t="s">
        <v>188</v>
      </c>
      <c r="M104" s="15">
        <v>213</v>
      </c>
      <c r="N104" s="58">
        <v>46155</v>
      </c>
      <c r="O104" s="59">
        <v>14.3</v>
      </c>
    </row>
    <row r="105" spans="1:15" x14ac:dyDescent="0.3">
      <c r="A105" s="4">
        <v>103</v>
      </c>
      <c r="B105" s="57" t="s">
        <v>157</v>
      </c>
      <c r="C105" s="57" t="s">
        <v>246</v>
      </c>
      <c r="D105" s="15" t="s">
        <v>218</v>
      </c>
      <c r="E105" s="34" t="s">
        <v>260</v>
      </c>
      <c r="F105" s="34" t="s">
        <v>185</v>
      </c>
      <c r="G105" s="58">
        <v>46152</v>
      </c>
      <c r="H105" s="58"/>
      <c r="I105" s="58"/>
      <c r="J105" s="58"/>
      <c r="K105" s="59">
        <v>19.3</v>
      </c>
      <c r="L105" s="34" t="s">
        <v>188</v>
      </c>
      <c r="M105" s="15">
        <v>213</v>
      </c>
      <c r="N105" s="58">
        <v>46155</v>
      </c>
      <c r="O105" s="59">
        <v>14.3</v>
      </c>
    </row>
    <row r="106" spans="1:15" x14ac:dyDescent="0.3">
      <c r="A106" s="4">
        <v>104</v>
      </c>
      <c r="B106" s="57" t="s">
        <v>158</v>
      </c>
      <c r="C106" s="57" t="s">
        <v>73</v>
      </c>
      <c r="D106" s="15" t="s">
        <v>213</v>
      </c>
      <c r="E106" s="34" t="s">
        <v>262</v>
      </c>
      <c r="F106" s="34" t="s">
        <v>83</v>
      </c>
      <c r="G106" s="58">
        <v>46152</v>
      </c>
      <c r="H106" s="58"/>
      <c r="I106" s="58"/>
      <c r="J106" s="58"/>
      <c r="K106" s="59">
        <v>19.3</v>
      </c>
      <c r="L106" s="34" t="s">
        <v>221</v>
      </c>
      <c r="M106" s="34">
        <v>3</v>
      </c>
      <c r="N106" s="58">
        <v>46155</v>
      </c>
      <c r="O106" s="59">
        <v>14.3</v>
      </c>
    </row>
    <row r="107" spans="1:15" x14ac:dyDescent="0.3">
      <c r="A107" s="4">
        <v>105</v>
      </c>
      <c r="B107" s="57" t="s">
        <v>159</v>
      </c>
      <c r="C107" s="57" t="s">
        <v>73</v>
      </c>
      <c r="D107" s="15" t="s">
        <v>213</v>
      </c>
      <c r="E107" s="34" t="s">
        <v>262</v>
      </c>
      <c r="F107" s="34" t="s">
        <v>83</v>
      </c>
      <c r="G107" s="58">
        <v>46152</v>
      </c>
      <c r="H107" s="58"/>
      <c r="I107" s="58"/>
      <c r="J107" s="58"/>
      <c r="K107" s="59">
        <v>19.3</v>
      </c>
      <c r="L107" s="34" t="s">
        <v>221</v>
      </c>
      <c r="M107" s="34">
        <v>3</v>
      </c>
      <c r="N107" s="58">
        <v>46155</v>
      </c>
      <c r="O107" s="59">
        <v>14.3</v>
      </c>
    </row>
    <row r="108" spans="1:15" x14ac:dyDescent="0.3">
      <c r="A108" s="4">
        <v>106</v>
      </c>
      <c r="B108" s="57" t="s">
        <v>160</v>
      </c>
      <c r="C108" s="57" t="s">
        <v>73</v>
      </c>
      <c r="D108" s="15" t="s">
        <v>213</v>
      </c>
      <c r="E108" s="34" t="s">
        <v>262</v>
      </c>
      <c r="F108" s="34" t="s">
        <v>83</v>
      </c>
      <c r="G108" s="58">
        <v>46152</v>
      </c>
      <c r="H108" s="58"/>
      <c r="I108" s="58"/>
      <c r="J108" s="58"/>
      <c r="K108" s="59">
        <v>19.3</v>
      </c>
      <c r="L108" s="34" t="s">
        <v>221</v>
      </c>
      <c r="M108" s="34">
        <v>3</v>
      </c>
      <c r="N108" s="58">
        <v>46155</v>
      </c>
      <c r="O108" s="59">
        <v>14.3</v>
      </c>
    </row>
    <row r="109" spans="1:15" x14ac:dyDescent="0.3">
      <c r="A109" s="4">
        <v>107</v>
      </c>
      <c r="B109" s="57" t="s">
        <v>161</v>
      </c>
      <c r="C109" s="57" t="s">
        <v>73</v>
      </c>
      <c r="D109" s="15" t="s">
        <v>213</v>
      </c>
      <c r="E109" s="34" t="s">
        <v>262</v>
      </c>
      <c r="F109" s="34" t="s">
        <v>83</v>
      </c>
      <c r="G109" s="58">
        <v>46152</v>
      </c>
      <c r="H109" s="58"/>
      <c r="I109" s="58"/>
      <c r="J109" s="58"/>
      <c r="K109" s="59">
        <v>19.3</v>
      </c>
      <c r="L109" s="34" t="s">
        <v>221</v>
      </c>
      <c r="M109" s="34">
        <v>5</v>
      </c>
      <c r="N109" s="58">
        <v>46155</v>
      </c>
      <c r="O109" s="59">
        <v>14.3</v>
      </c>
    </row>
    <row r="110" spans="1:15" x14ac:dyDescent="0.3">
      <c r="A110" s="4">
        <v>108</v>
      </c>
      <c r="B110" s="57" t="s">
        <v>162</v>
      </c>
      <c r="C110" s="57" t="s">
        <v>73</v>
      </c>
      <c r="D110" s="15" t="s">
        <v>213</v>
      </c>
      <c r="E110" s="34" t="s">
        <v>262</v>
      </c>
      <c r="F110" s="34" t="s">
        <v>83</v>
      </c>
      <c r="G110" s="58">
        <v>46152</v>
      </c>
      <c r="H110" s="58"/>
      <c r="I110" s="58"/>
      <c r="J110" s="58"/>
      <c r="K110" s="59">
        <v>19.3</v>
      </c>
      <c r="L110" s="34" t="s">
        <v>221</v>
      </c>
      <c r="M110" s="34">
        <v>5</v>
      </c>
      <c r="N110" s="58">
        <v>46155</v>
      </c>
      <c r="O110" s="59">
        <v>14.3</v>
      </c>
    </row>
    <row r="111" spans="1:15" x14ac:dyDescent="0.3">
      <c r="A111" s="4">
        <v>109</v>
      </c>
      <c r="B111" s="57" t="s">
        <v>74</v>
      </c>
      <c r="C111" s="57" t="s">
        <v>247</v>
      </c>
      <c r="D111" s="15" t="s">
        <v>139</v>
      </c>
      <c r="E111" s="34" t="s">
        <v>263</v>
      </c>
      <c r="F111" s="34" t="s">
        <v>248</v>
      </c>
      <c r="G111" s="58">
        <v>46152</v>
      </c>
      <c r="H111" s="58"/>
      <c r="I111" s="58"/>
      <c r="J111" s="58"/>
      <c r="K111" s="59">
        <v>17</v>
      </c>
      <c r="L111" s="34" t="s">
        <v>221</v>
      </c>
      <c r="M111" s="34">
        <v>18</v>
      </c>
      <c r="N111" s="58">
        <v>46155</v>
      </c>
      <c r="O111" s="59">
        <v>14.3</v>
      </c>
    </row>
    <row r="112" spans="1:15" x14ac:dyDescent="0.3">
      <c r="A112" s="60">
        <v>110</v>
      </c>
      <c r="B112" s="61" t="s">
        <v>5</v>
      </c>
      <c r="C112" s="61" t="s">
        <v>247</v>
      </c>
      <c r="D112" s="62" t="s">
        <v>139</v>
      </c>
      <c r="E112" s="48" t="s">
        <v>263</v>
      </c>
      <c r="F112" s="48" t="s">
        <v>248</v>
      </c>
      <c r="G112" s="63">
        <v>46152</v>
      </c>
      <c r="H112" s="63"/>
      <c r="I112" s="63"/>
      <c r="J112" s="63"/>
      <c r="K112" s="64">
        <v>17</v>
      </c>
      <c r="L112" s="48" t="s">
        <v>221</v>
      </c>
      <c r="M112" s="48">
        <v>18</v>
      </c>
      <c r="N112" s="63">
        <v>46155</v>
      </c>
      <c r="O112" s="64">
        <v>14.3</v>
      </c>
    </row>
    <row r="113" spans="1:15" x14ac:dyDescent="0.3">
      <c r="A113" s="4">
        <v>111</v>
      </c>
      <c r="B113" s="57" t="s">
        <v>75</v>
      </c>
      <c r="C113" s="57" t="s">
        <v>249</v>
      </c>
      <c r="D113" s="15" t="s">
        <v>218</v>
      </c>
      <c r="E113" s="34" t="s">
        <v>256</v>
      </c>
      <c r="F113" s="34" t="s">
        <v>187</v>
      </c>
      <c r="G113" s="58">
        <v>46152</v>
      </c>
      <c r="H113" s="58"/>
      <c r="I113" s="58"/>
      <c r="J113" s="58"/>
      <c r="K113" s="59">
        <v>17</v>
      </c>
      <c r="L113" s="34" t="s">
        <v>269</v>
      </c>
      <c r="M113" s="34" t="s">
        <v>270</v>
      </c>
      <c r="N113" s="58">
        <v>46155</v>
      </c>
      <c r="O113" s="59">
        <v>14.3</v>
      </c>
    </row>
    <row r="114" spans="1:15" x14ac:dyDescent="0.3">
      <c r="A114" s="4">
        <v>112</v>
      </c>
      <c r="B114" s="57" t="s">
        <v>163</v>
      </c>
      <c r="C114" s="57" t="s">
        <v>249</v>
      </c>
      <c r="D114" s="15" t="s">
        <v>218</v>
      </c>
      <c r="E114" s="34" t="s">
        <v>256</v>
      </c>
      <c r="F114" s="34" t="s">
        <v>187</v>
      </c>
      <c r="G114" s="58">
        <v>46152</v>
      </c>
      <c r="H114" s="58"/>
      <c r="I114" s="58"/>
      <c r="J114" s="58"/>
      <c r="K114" s="59">
        <v>17</v>
      </c>
      <c r="L114" s="34" t="s">
        <v>269</v>
      </c>
      <c r="M114" s="34" t="s">
        <v>270</v>
      </c>
      <c r="N114" s="58">
        <v>46155</v>
      </c>
      <c r="O114" s="59">
        <v>14.3</v>
      </c>
    </row>
    <row r="115" spans="1:15" x14ac:dyDescent="0.3">
      <c r="A115" s="4">
        <v>113</v>
      </c>
      <c r="B115" s="57" t="s">
        <v>76</v>
      </c>
      <c r="C115" s="57" t="s">
        <v>250</v>
      </c>
      <c r="D115" s="15" t="s">
        <v>218</v>
      </c>
      <c r="E115" s="34" t="s">
        <v>252</v>
      </c>
      <c r="F115" s="34" t="s">
        <v>251</v>
      </c>
      <c r="G115" s="58">
        <v>46152</v>
      </c>
      <c r="H115" s="58"/>
      <c r="I115" s="58"/>
      <c r="J115" s="58"/>
      <c r="K115" s="59">
        <v>17</v>
      </c>
      <c r="L115" s="34" t="s">
        <v>188</v>
      </c>
      <c r="M115" s="34">
        <v>211</v>
      </c>
      <c r="N115" s="58">
        <v>46155</v>
      </c>
      <c r="O115" s="59">
        <v>14.3</v>
      </c>
    </row>
    <row r="116" spans="1:15" x14ac:dyDescent="0.3">
      <c r="A116" s="4">
        <v>114</v>
      </c>
      <c r="B116" s="57" t="s">
        <v>0</v>
      </c>
      <c r="C116" s="57" t="s">
        <v>250</v>
      </c>
      <c r="D116" s="15" t="s">
        <v>218</v>
      </c>
      <c r="E116" s="34" t="s">
        <v>252</v>
      </c>
      <c r="F116" s="34" t="s">
        <v>251</v>
      </c>
      <c r="G116" s="58">
        <v>46152</v>
      </c>
      <c r="H116" s="58"/>
      <c r="I116" s="58"/>
      <c r="J116" s="58"/>
      <c r="K116" s="59">
        <v>17</v>
      </c>
      <c r="L116" s="34" t="s">
        <v>188</v>
      </c>
      <c r="M116" s="34">
        <v>211</v>
      </c>
      <c r="N116" s="58">
        <v>46155</v>
      </c>
      <c r="O116" s="59">
        <v>14.3</v>
      </c>
    </row>
    <row r="117" spans="1:15" x14ac:dyDescent="0.3">
      <c r="A117" s="4">
        <v>115</v>
      </c>
      <c r="B117" s="57" t="s">
        <v>164</v>
      </c>
      <c r="C117" s="57" t="s">
        <v>250</v>
      </c>
      <c r="D117" s="15" t="s">
        <v>218</v>
      </c>
      <c r="E117" s="34" t="s">
        <v>252</v>
      </c>
      <c r="F117" s="34" t="s">
        <v>251</v>
      </c>
      <c r="G117" s="58">
        <v>46152</v>
      </c>
      <c r="H117" s="58"/>
      <c r="I117" s="58"/>
      <c r="J117" s="58"/>
      <c r="K117" s="59">
        <v>17</v>
      </c>
      <c r="L117" s="34" t="s">
        <v>188</v>
      </c>
      <c r="M117" s="34">
        <v>211</v>
      </c>
      <c r="N117" s="58">
        <v>46155</v>
      </c>
      <c r="O117" s="59">
        <v>14.3</v>
      </c>
    </row>
    <row r="118" spans="1:15" x14ac:dyDescent="0.3">
      <c r="A118" s="4">
        <v>116</v>
      </c>
      <c r="B118" s="57" t="s">
        <v>31</v>
      </c>
      <c r="C118" s="57" t="s">
        <v>250</v>
      </c>
      <c r="D118" s="15" t="s">
        <v>218</v>
      </c>
      <c r="E118" s="34" t="s">
        <v>252</v>
      </c>
      <c r="F118" s="34" t="s">
        <v>251</v>
      </c>
      <c r="G118" s="58">
        <v>46152</v>
      </c>
      <c r="H118" s="58"/>
      <c r="I118" s="58"/>
      <c r="J118" s="58"/>
      <c r="K118" s="59">
        <v>17</v>
      </c>
      <c r="L118" s="34" t="s">
        <v>188</v>
      </c>
      <c r="M118" s="34">
        <v>212</v>
      </c>
      <c r="N118" s="58">
        <v>46155</v>
      </c>
      <c r="O118" s="59">
        <v>14.3</v>
      </c>
    </row>
    <row r="119" spans="1:15" x14ac:dyDescent="0.3">
      <c r="A119" s="4">
        <v>117</v>
      </c>
      <c r="B119" s="57" t="s">
        <v>77</v>
      </c>
      <c r="C119" s="57" t="s">
        <v>250</v>
      </c>
      <c r="D119" s="15" t="s">
        <v>218</v>
      </c>
      <c r="E119" s="34" t="s">
        <v>252</v>
      </c>
      <c r="F119" s="34" t="s">
        <v>251</v>
      </c>
      <c r="G119" s="58">
        <v>46152</v>
      </c>
      <c r="H119" s="58"/>
      <c r="I119" s="58"/>
      <c r="J119" s="58"/>
      <c r="K119" s="59">
        <v>17</v>
      </c>
      <c r="L119" s="34" t="s">
        <v>188</v>
      </c>
      <c r="M119" s="34">
        <v>212</v>
      </c>
      <c r="N119" s="58">
        <v>46155</v>
      </c>
      <c r="O119" s="59">
        <v>14.3</v>
      </c>
    </row>
    <row r="120" spans="1:15" x14ac:dyDescent="0.3">
      <c r="A120" s="4">
        <v>118</v>
      </c>
      <c r="B120" s="57" t="s">
        <v>39</v>
      </c>
      <c r="C120" s="57" t="s">
        <v>250</v>
      </c>
      <c r="D120" s="15" t="s">
        <v>218</v>
      </c>
      <c r="E120" s="34" t="s">
        <v>252</v>
      </c>
      <c r="F120" s="34" t="s">
        <v>251</v>
      </c>
      <c r="G120" s="58">
        <v>46152</v>
      </c>
      <c r="H120" s="58"/>
      <c r="I120" s="58"/>
      <c r="J120" s="58"/>
      <c r="K120" s="59">
        <v>17</v>
      </c>
      <c r="L120" s="34" t="s">
        <v>188</v>
      </c>
      <c r="M120" s="34">
        <v>212</v>
      </c>
      <c r="N120" s="58">
        <v>46155</v>
      </c>
      <c r="O120" s="59">
        <v>14.3</v>
      </c>
    </row>
    <row r="121" spans="1:15" x14ac:dyDescent="0.3">
      <c r="A121" s="4">
        <v>119</v>
      </c>
      <c r="B121" s="57" t="s">
        <v>165</v>
      </c>
      <c r="C121" s="57" t="s">
        <v>253</v>
      </c>
      <c r="D121" s="15" t="s">
        <v>139</v>
      </c>
      <c r="E121" s="15" t="s">
        <v>228</v>
      </c>
      <c r="F121" s="15" t="s">
        <v>115</v>
      </c>
      <c r="G121" s="58">
        <v>46153</v>
      </c>
      <c r="H121" s="58"/>
      <c r="I121" s="58"/>
      <c r="J121" s="58"/>
      <c r="K121" s="59">
        <v>9.3000000000000007</v>
      </c>
      <c r="L121" s="34" t="s">
        <v>221</v>
      </c>
      <c r="M121" s="15">
        <v>19</v>
      </c>
      <c r="N121" s="58">
        <v>46154</v>
      </c>
      <c r="O121" s="59">
        <v>23.3</v>
      </c>
    </row>
    <row r="122" spans="1:15" x14ac:dyDescent="0.3">
      <c r="A122" s="4">
        <v>120</v>
      </c>
      <c r="B122" s="57" t="s">
        <v>166</v>
      </c>
      <c r="C122" s="57" t="s">
        <v>253</v>
      </c>
      <c r="D122" s="15" t="s">
        <v>139</v>
      </c>
      <c r="E122" s="15" t="s">
        <v>228</v>
      </c>
      <c r="F122" s="15" t="s">
        <v>115</v>
      </c>
      <c r="G122" s="58">
        <v>46153</v>
      </c>
      <c r="H122" s="58"/>
      <c r="I122" s="58"/>
      <c r="J122" s="58"/>
      <c r="K122" s="59">
        <v>9.3000000000000007</v>
      </c>
      <c r="L122" s="34" t="s">
        <v>221</v>
      </c>
      <c r="M122" s="15">
        <v>19</v>
      </c>
      <c r="N122" s="58">
        <v>46154</v>
      </c>
      <c r="O122" s="59">
        <v>23.3</v>
      </c>
    </row>
    <row r="123" spans="1:15" x14ac:dyDescent="0.3">
      <c r="A123" s="65">
        <v>123</v>
      </c>
      <c r="B123" s="57" t="s">
        <v>254</v>
      </c>
      <c r="C123" s="57" t="s">
        <v>266</v>
      </c>
      <c r="D123" s="15" t="s">
        <v>119</v>
      </c>
      <c r="E123" s="34" t="s">
        <v>240</v>
      </c>
      <c r="F123" s="34" t="s">
        <v>115</v>
      </c>
      <c r="G123" s="58">
        <v>46152</v>
      </c>
      <c r="H123" s="58"/>
      <c r="I123" s="58"/>
      <c r="J123" s="58"/>
      <c r="K123" s="59">
        <v>19.3</v>
      </c>
      <c r="L123" s="34" t="s">
        <v>221</v>
      </c>
      <c r="M123" s="34">
        <v>22</v>
      </c>
      <c r="N123" s="58">
        <v>46155</v>
      </c>
      <c r="O123" s="59">
        <v>14.3</v>
      </c>
    </row>
    <row r="124" spans="1:15" x14ac:dyDescent="0.3">
      <c r="A124" s="65"/>
      <c r="B124" s="57"/>
      <c r="C124" s="57"/>
      <c r="D124" s="15"/>
      <c r="E124" s="34"/>
      <c r="F124" s="34"/>
      <c r="G124" s="58"/>
      <c r="H124" s="58"/>
      <c r="I124" s="58"/>
      <c r="J124" s="58"/>
      <c r="K124" s="59"/>
      <c r="L124" s="34"/>
      <c r="M124" s="34"/>
      <c r="N124" s="58"/>
      <c r="O124" s="59"/>
    </row>
    <row r="125" spans="1:15" x14ac:dyDescent="0.3">
      <c r="A125" s="65"/>
      <c r="B125" s="57"/>
      <c r="C125" s="57"/>
      <c r="D125" s="15"/>
      <c r="E125" s="34"/>
      <c r="F125" s="34"/>
      <c r="G125" s="58"/>
      <c r="H125" s="58"/>
      <c r="I125" s="58"/>
      <c r="J125" s="58"/>
      <c r="K125" s="59"/>
      <c r="L125" s="34"/>
      <c r="M125" s="34"/>
      <c r="N125" s="58"/>
      <c r="O125" s="59"/>
    </row>
    <row r="126" spans="1:15" ht="43.2" x14ac:dyDescent="0.3">
      <c r="A126" s="26" t="s">
        <v>255</v>
      </c>
      <c r="B126" s="25" t="s">
        <v>169</v>
      </c>
      <c r="C126" s="25" t="s">
        <v>170</v>
      </c>
      <c r="D126" s="26" t="s">
        <v>171</v>
      </c>
      <c r="E126" s="26" t="s">
        <v>175</v>
      </c>
      <c r="F126" s="26" t="s">
        <v>174</v>
      </c>
      <c r="G126" s="26" t="s">
        <v>172</v>
      </c>
      <c r="H126" s="26" t="s">
        <v>172</v>
      </c>
      <c r="I126" s="26" t="s">
        <v>172</v>
      </c>
      <c r="J126" s="26" t="s">
        <v>172</v>
      </c>
      <c r="K126" s="26" t="s">
        <v>173</v>
      </c>
      <c r="L126" s="26" t="s">
        <v>176</v>
      </c>
      <c r="M126" s="26" t="s">
        <v>177</v>
      </c>
      <c r="N126" s="26" t="s">
        <v>178</v>
      </c>
      <c r="O126" s="26" t="s">
        <v>179</v>
      </c>
    </row>
    <row r="127" spans="1:15" ht="18.600000000000001" customHeight="1" x14ac:dyDescent="0.3">
      <c r="A127" s="66">
        <v>1</v>
      </c>
      <c r="B127" s="67" t="s">
        <v>42</v>
      </c>
      <c r="C127" s="51" t="s">
        <v>42</v>
      </c>
      <c r="D127" s="66" t="s">
        <v>213</v>
      </c>
      <c r="E127" s="52" t="s">
        <v>262</v>
      </c>
      <c r="F127" s="52" t="s">
        <v>83</v>
      </c>
      <c r="G127" s="68">
        <v>46149</v>
      </c>
      <c r="H127" s="68"/>
      <c r="I127" s="68"/>
      <c r="J127" s="68"/>
      <c r="K127" s="69">
        <v>17.3</v>
      </c>
      <c r="L127" s="52" t="s">
        <v>188</v>
      </c>
      <c r="M127" s="66">
        <v>106</v>
      </c>
      <c r="N127" s="68">
        <v>46155</v>
      </c>
      <c r="O127" s="69">
        <v>14.3</v>
      </c>
    </row>
    <row r="128" spans="1:15" ht="18.600000000000001" customHeight="1" x14ac:dyDescent="0.3">
      <c r="A128" s="66">
        <v>2</v>
      </c>
      <c r="B128" s="67" t="s">
        <v>34</v>
      </c>
      <c r="C128" s="51" t="s">
        <v>42</v>
      </c>
      <c r="D128" s="66" t="s">
        <v>213</v>
      </c>
      <c r="E128" s="52" t="s">
        <v>262</v>
      </c>
      <c r="F128" s="52" t="s">
        <v>83</v>
      </c>
      <c r="G128" s="68">
        <v>46149</v>
      </c>
      <c r="H128" s="68"/>
      <c r="I128" s="68"/>
      <c r="J128" s="68"/>
      <c r="K128" s="69">
        <v>17.3</v>
      </c>
      <c r="L128" s="52" t="s">
        <v>188</v>
      </c>
      <c r="M128" s="66">
        <v>106</v>
      </c>
      <c r="N128" s="68">
        <v>46155</v>
      </c>
      <c r="O128" s="69">
        <v>14.3</v>
      </c>
    </row>
    <row r="129" spans="1:15" ht="18.600000000000001" customHeight="1" x14ac:dyDescent="0.3">
      <c r="A129" s="66">
        <v>3</v>
      </c>
      <c r="B129" s="51" t="s">
        <v>181</v>
      </c>
      <c r="C129" s="51" t="s">
        <v>191</v>
      </c>
      <c r="D129" s="52" t="s">
        <v>119</v>
      </c>
      <c r="E129" s="52" t="s">
        <v>186</v>
      </c>
      <c r="F129" s="52" t="s">
        <v>115</v>
      </c>
      <c r="G129" s="67"/>
      <c r="H129" s="53">
        <v>46151</v>
      </c>
      <c r="I129" s="53"/>
      <c r="J129" s="53"/>
      <c r="K129" s="54">
        <v>14.3</v>
      </c>
      <c r="L129" s="52" t="s">
        <v>269</v>
      </c>
      <c r="M129" s="52" t="s">
        <v>38</v>
      </c>
      <c r="N129" s="53">
        <v>46156</v>
      </c>
      <c r="O129" s="54">
        <v>9.3000000000000007</v>
      </c>
    </row>
    <row r="130" spans="1:15" ht="18.600000000000001" customHeight="1" x14ac:dyDescent="0.3">
      <c r="A130" s="66">
        <v>4</v>
      </c>
      <c r="B130" s="67" t="s">
        <v>182</v>
      </c>
      <c r="C130" s="51" t="s">
        <v>191</v>
      </c>
      <c r="D130" s="52" t="s">
        <v>119</v>
      </c>
      <c r="E130" s="52" t="s">
        <v>186</v>
      </c>
      <c r="F130" s="52" t="s">
        <v>115</v>
      </c>
      <c r="G130" s="67"/>
      <c r="H130" s="53">
        <v>46151</v>
      </c>
      <c r="I130" s="53"/>
      <c r="J130" s="53"/>
      <c r="K130" s="54">
        <v>14.3</v>
      </c>
      <c r="L130" s="52" t="s">
        <v>269</v>
      </c>
      <c r="M130" s="52" t="s">
        <v>38</v>
      </c>
      <c r="N130" s="53">
        <v>46156</v>
      </c>
      <c r="O130" s="54">
        <v>9.3000000000000007</v>
      </c>
    </row>
    <row r="131" spans="1:15" ht="18.600000000000001" customHeight="1" x14ac:dyDescent="0.3">
      <c r="A131" s="66">
        <v>5</v>
      </c>
      <c r="B131" s="67" t="s">
        <v>223</v>
      </c>
      <c r="C131" s="51" t="s">
        <v>222</v>
      </c>
      <c r="D131" s="52" t="s">
        <v>119</v>
      </c>
      <c r="E131" s="52" t="s">
        <v>186</v>
      </c>
      <c r="F131" s="52" t="s">
        <v>115</v>
      </c>
      <c r="G131" s="67"/>
      <c r="H131" s="53">
        <v>46151</v>
      </c>
      <c r="I131" s="53"/>
      <c r="J131" s="53"/>
      <c r="K131" s="54">
        <v>14.3</v>
      </c>
      <c r="L131" s="52" t="s">
        <v>188</v>
      </c>
      <c r="M131" s="52">
        <v>201</v>
      </c>
      <c r="N131" s="53">
        <v>46156</v>
      </c>
      <c r="O131" s="54">
        <v>9.3000000000000007</v>
      </c>
    </row>
    <row r="132" spans="1:15" ht="18.600000000000001" customHeight="1" x14ac:dyDescent="0.3">
      <c r="A132" s="66">
        <v>6</v>
      </c>
      <c r="B132" s="67" t="s">
        <v>51</v>
      </c>
      <c r="C132" s="51" t="s">
        <v>222</v>
      </c>
      <c r="D132" s="52" t="s">
        <v>119</v>
      </c>
      <c r="E132" s="52" t="s">
        <v>186</v>
      </c>
      <c r="F132" s="52" t="s">
        <v>115</v>
      </c>
      <c r="G132" s="67"/>
      <c r="H132" s="53">
        <v>46151</v>
      </c>
      <c r="I132" s="53"/>
      <c r="J132" s="53"/>
      <c r="K132" s="54">
        <v>14.3</v>
      </c>
      <c r="L132" s="52" t="s">
        <v>188</v>
      </c>
      <c r="M132" s="52">
        <v>201</v>
      </c>
      <c r="N132" s="53">
        <v>46156</v>
      </c>
      <c r="O132" s="54">
        <v>9.3000000000000007</v>
      </c>
    </row>
    <row r="133" spans="1:15" ht="18.600000000000001" customHeight="1" x14ac:dyDescent="0.3">
      <c r="A133" s="66">
        <v>7</v>
      </c>
      <c r="B133" s="67" t="s">
        <v>183</v>
      </c>
      <c r="C133" s="51" t="s">
        <v>192</v>
      </c>
      <c r="D133" s="52" t="s">
        <v>122</v>
      </c>
      <c r="E133" s="52" t="s">
        <v>217</v>
      </c>
      <c r="F133" s="52" t="s">
        <v>187</v>
      </c>
      <c r="G133" s="67"/>
      <c r="H133" s="68"/>
      <c r="I133" s="68">
        <v>46152</v>
      </c>
      <c r="J133" s="68"/>
      <c r="K133" s="69">
        <v>19.3</v>
      </c>
      <c r="L133" s="52" t="s">
        <v>269</v>
      </c>
      <c r="M133" s="52" t="s">
        <v>38</v>
      </c>
      <c r="N133" s="68">
        <v>46155</v>
      </c>
      <c r="O133" s="69">
        <v>14.3</v>
      </c>
    </row>
    <row r="134" spans="1:15" ht="18.600000000000001" customHeight="1" x14ac:dyDescent="0.3">
      <c r="A134" s="66">
        <v>8</v>
      </c>
      <c r="B134" s="67" t="s">
        <v>134</v>
      </c>
      <c r="C134" s="51" t="s">
        <v>215</v>
      </c>
      <c r="D134" s="66" t="s">
        <v>122</v>
      </c>
      <c r="E134" s="52" t="s">
        <v>212</v>
      </c>
      <c r="F134" s="52" t="s">
        <v>115</v>
      </c>
      <c r="G134" s="67"/>
      <c r="H134" s="68"/>
      <c r="I134" s="68">
        <v>46152</v>
      </c>
      <c r="J134" s="68"/>
      <c r="K134" s="69">
        <v>19.3</v>
      </c>
      <c r="L134" s="52" t="s">
        <v>188</v>
      </c>
      <c r="M134" s="66">
        <v>104</v>
      </c>
      <c r="N134" s="68">
        <v>46155</v>
      </c>
      <c r="O134" s="69">
        <v>14.3</v>
      </c>
    </row>
    <row r="135" spans="1:15" ht="18.600000000000001" customHeight="1" x14ac:dyDescent="0.3">
      <c r="A135" s="66">
        <v>9</v>
      </c>
      <c r="B135" s="67" t="s">
        <v>189</v>
      </c>
      <c r="C135" s="51" t="s">
        <v>215</v>
      </c>
      <c r="D135" s="52" t="s">
        <v>139</v>
      </c>
      <c r="E135" s="52" t="s">
        <v>263</v>
      </c>
      <c r="F135" s="52" t="s">
        <v>190</v>
      </c>
      <c r="G135" s="67"/>
      <c r="H135" s="68"/>
      <c r="I135" s="68">
        <v>46152</v>
      </c>
      <c r="J135" s="68"/>
      <c r="K135" s="69">
        <v>11.3</v>
      </c>
      <c r="L135" s="52" t="s">
        <v>188</v>
      </c>
      <c r="M135" s="66">
        <v>104</v>
      </c>
      <c r="N135" s="68">
        <v>46155</v>
      </c>
      <c r="O135" s="69">
        <v>14.3</v>
      </c>
    </row>
    <row r="136" spans="1:15" ht="18.600000000000001" customHeight="1" x14ac:dyDescent="0.3">
      <c r="A136" s="66">
        <v>10</v>
      </c>
      <c r="B136" s="67" t="s">
        <v>1</v>
      </c>
      <c r="C136" s="51" t="s">
        <v>215</v>
      </c>
      <c r="D136" s="66" t="s">
        <v>122</v>
      </c>
      <c r="E136" s="52" t="s">
        <v>212</v>
      </c>
      <c r="F136" s="52" t="s">
        <v>115</v>
      </c>
      <c r="G136" s="67"/>
      <c r="H136" s="68"/>
      <c r="I136" s="68">
        <v>46152</v>
      </c>
      <c r="J136" s="68"/>
      <c r="K136" s="69">
        <v>19.3</v>
      </c>
      <c r="L136" s="52" t="s">
        <v>188</v>
      </c>
      <c r="M136" s="66">
        <v>104</v>
      </c>
      <c r="N136" s="68">
        <v>46155</v>
      </c>
      <c r="O136" s="69">
        <v>14.3</v>
      </c>
    </row>
    <row r="137" spans="1:15" ht="18.600000000000001" customHeight="1" x14ac:dyDescent="0.3">
      <c r="A137" s="66">
        <v>11</v>
      </c>
      <c r="B137" s="67" t="s">
        <v>2</v>
      </c>
      <c r="C137" s="51" t="s">
        <v>215</v>
      </c>
      <c r="D137" s="66" t="s">
        <v>122</v>
      </c>
      <c r="E137" s="52" t="s">
        <v>212</v>
      </c>
      <c r="F137" s="52" t="s">
        <v>115</v>
      </c>
      <c r="G137" s="67"/>
      <c r="H137" s="68"/>
      <c r="I137" s="68">
        <v>46152</v>
      </c>
      <c r="J137" s="68"/>
      <c r="K137" s="69">
        <v>19.3</v>
      </c>
      <c r="L137" s="52" t="s">
        <v>188</v>
      </c>
      <c r="M137" s="66">
        <v>104</v>
      </c>
      <c r="N137" s="68">
        <v>46155</v>
      </c>
      <c r="O137" s="69">
        <v>14.3</v>
      </c>
    </row>
    <row r="138" spans="1:15" ht="18.600000000000001" customHeight="1" x14ac:dyDescent="0.3">
      <c r="A138" s="66">
        <v>12</v>
      </c>
      <c r="B138" s="67" t="s">
        <v>98</v>
      </c>
      <c r="C138" s="51" t="s">
        <v>41</v>
      </c>
      <c r="D138" s="66" t="s">
        <v>122</v>
      </c>
      <c r="E138" s="52" t="s">
        <v>212</v>
      </c>
      <c r="F138" s="52" t="s">
        <v>115</v>
      </c>
      <c r="G138" s="67"/>
      <c r="H138" s="68"/>
      <c r="I138" s="68">
        <v>46152</v>
      </c>
      <c r="J138" s="68"/>
      <c r="K138" s="69">
        <v>19.3</v>
      </c>
      <c r="L138" s="52" t="s">
        <v>188</v>
      </c>
      <c r="M138" s="66">
        <v>105</v>
      </c>
      <c r="N138" s="68">
        <v>46155</v>
      </c>
      <c r="O138" s="69">
        <v>14.3</v>
      </c>
    </row>
    <row r="139" spans="1:15" ht="18.600000000000001" customHeight="1" x14ac:dyDescent="0.3">
      <c r="A139" s="66">
        <v>13</v>
      </c>
      <c r="B139" s="67" t="s">
        <v>41</v>
      </c>
      <c r="C139" s="51" t="s">
        <v>41</v>
      </c>
      <c r="D139" s="66" t="s">
        <v>122</v>
      </c>
      <c r="E139" s="52" t="s">
        <v>212</v>
      </c>
      <c r="F139" s="52" t="s">
        <v>115</v>
      </c>
      <c r="G139" s="67"/>
      <c r="H139" s="68"/>
      <c r="I139" s="68">
        <v>46152</v>
      </c>
      <c r="J139" s="68"/>
      <c r="K139" s="69">
        <v>19.3</v>
      </c>
      <c r="L139" s="52" t="s">
        <v>188</v>
      </c>
      <c r="M139" s="66">
        <v>105</v>
      </c>
      <c r="N139" s="68">
        <v>46155</v>
      </c>
      <c r="O139" s="69">
        <v>14.3</v>
      </c>
    </row>
    <row r="140" spans="1:15" ht="18.600000000000001" customHeight="1" x14ac:dyDescent="0.3">
      <c r="A140" s="66">
        <v>14</v>
      </c>
      <c r="B140" s="67" t="s">
        <v>35</v>
      </c>
      <c r="C140" s="51" t="s">
        <v>42</v>
      </c>
      <c r="D140" s="66" t="s">
        <v>213</v>
      </c>
      <c r="E140" s="52" t="s">
        <v>262</v>
      </c>
      <c r="F140" s="52" t="s">
        <v>214</v>
      </c>
      <c r="G140" s="67"/>
      <c r="H140" s="68"/>
      <c r="I140" s="68">
        <v>46152</v>
      </c>
      <c r="J140" s="68"/>
      <c r="K140" s="69">
        <v>17.3</v>
      </c>
      <c r="L140" s="52" t="s">
        <v>188</v>
      </c>
      <c r="M140" s="66">
        <v>106</v>
      </c>
      <c r="N140" s="68">
        <v>46155</v>
      </c>
      <c r="O140" s="69">
        <v>14.3</v>
      </c>
    </row>
    <row r="141" spans="1:15" ht="18.600000000000001" customHeight="1" x14ac:dyDescent="0.3">
      <c r="A141" s="66">
        <v>15</v>
      </c>
      <c r="B141" s="67" t="s">
        <v>43</v>
      </c>
      <c r="C141" s="51" t="s">
        <v>19</v>
      </c>
      <c r="D141" s="66" t="s">
        <v>122</v>
      </c>
      <c r="E141" s="52" t="s">
        <v>212</v>
      </c>
      <c r="F141" s="52" t="s">
        <v>115</v>
      </c>
      <c r="G141" s="67"/>
      <c r="H141" s="68"/>
      <c r="I141" s="68">
        <v>46152</v>
      </c>
      <c r="J141" s="68"/>
      <c r="K141" s="69">
        <v>19.3</v>
      </c>
      <c r="L141" s="52" t="s">
        <v>188</v>
      </c>
      <c r="M141" s="66">
        <v>107</v>
      </c>
      <c r="N141" s="68">
        <v>46155</v>
      </c>
      <c r="O141" s="69">
        <v>14.3</v>
      </c>
    </row>
    <row r="142" spans="1:15" ht="18.600000000000001" customHeight="1" x14ac:dyDescent="0.3">
      <c r="A142" s="66">
        <v>16</v>
      </c>
      <c r="B142" s="67" t="s">
        <v>44</v>
      </c>
      <c r="C142" s="51" t="s">
        <v>19</v>
      </c>
      <c r="D142" s="66" t="s">
        <v>122</v>
      </c>
      <c r="E142" s="52" t="s">
        <v>212</v>
      </c>
      <c r="F142" s="52" t="s">
        <v>115</v>
      </c>
      <c r="G142" s="67"/>
      <c r="H142" s="68"/>
      <c r="I142" s="68">
        <v>46152</v>
      </c>
      <c r="J142" s="68"/>
      <c r="K142" s="69">
        <v>19.3</v>
      </c>
      <c r="L142" s="52" t="s">
        <v>188</v>
      </c>
      <c r="M142" s="66">
        <v>107</v>
      </c>
      <c r="N142" s="68">
        <v>46155</v>
      </c>
      <c r="O142" s="69">
        <v>14.3</v>
      </c>
    </row>
    <row r="143" spans="1:15" ht="18.600000000000001" customHeight="1" x14ac:dyDescent="0.3">
      <c r="A143" s="66">
        <v>17</v>
      </c>
      <c r="B143" s="67" t="s">
        <v>167</v>
      </c>
      <c r="C143" s="51" t="s">
        <v>266</v>
      </c>
      <c r="D143" s="66" t="s">
        <v>122</v>
      </c>
      <c r="E143" s="52" t="s">
        <v>212</v>
      </c>
      <c r="F143" s="52" t="s">
        <v>115</v>
      </c>
      <c r="G143" s="67"/>
      <c r="H143" s="68"/>
      <c r="I143" s="68">
        <v>46152</v>
      </c>
      <c r="J143" s="68"/>
      <c r="K143" s="69">
        <v>19.3</v>
      </c>
      <c r="L143" s="52" t="s">
        <v>188</v>
      </c>
      <c r="M143" s="66">
        <v>202</v>
      </c>
      <c r="N143" s="68">
        <v>46155</v>
      </c>
      <c r="O143" s="69">
        <v>14.3</v>
      </c>
    </row>
    <row r="144" spans="1:15" ht="18.600000000000001" customHeight="1" x14ac:dyDescent="0.3">
      <c r="A144" s="66">
        <v>18</v>
      </c>
      <c r="B144" s="67" t="s">
        <v>3</v>
      </c>
      <c r="C144" s="51" t="s">
        <v>3</v>
      </c>
      <c r="D144" s="66" t="s">
        <v>139</v>
      </c>
      <c r="E144" s="52" t="s">
        <v>263</v>
      </c>
      <c r="F144" s="52" t="s">
        <v>190</v>
      </c>
      <c r="G144" s="67"/>
      <c r="H144" s="68"/>
      <c r="I144" s="68">
        <v>46152</v>
      </c>
      <c r="J144" s="68"/>
      <c r="K144" s="69">
        <v>11.3</v>
      </c>
      <c r="L144" s="52" t="s">
        <v>188</v>
      </c>
      <c r="M144" s="66">
        <v>108</v>
      </c>
      <c r="N144" s="68">
        <v>46155</v>
      </c>
      <c r="O144" s="69">
        <v>14.3</v>
      </c>
    </row>
    <row r="145" spans="1:15" ht="18.600000000000001" customHeight="1" x14ac:dyDescent="0.3">
      <c r="A145" s="66">
        <v>19</v>
      </c>
      <c r="B145" s="67" t="s">
        <v>4</v>
      </c>
      <c r="C145" s="51" t="s">
        <v>3</v>
      </c>
      <c r="D145" s="66" t="s">
        <v>139</v>
      </c>
      <c r="E145" s="52" t="s">
        <v>263</v>
      </c>
      <c r="F145" s="52" t="s">
        <v>190</v>
      </c>
      <c r="G145" s="67"/>
      <c r="H145" s="68"/>
      <c r="I145" s="68">
        <v>46152</v>
      </c>
      <c r="J145" s="68"/>
      <c r="K145" s="69">
        <v>11.3</v>
      </c>
      <c r="L145" s="52" t="s">
        <v>188</v>
      </c>
      <c r="M145" s="66">
        <v>108</v>
      </c>
      <c r="N145" s="68">
        <v>46155</v>
      </c>
      <c r="O145" s="69">
        <v>14.3</v>
      </c>
    </row>
    <row r="146" spans="1:15" ht="18.600000000000001" customHeight="1" x14ac:dyDescent="0.3">
      <c r="A146" s="66">
        <v>20</v>
      </c>
      <c r="B146" s="67" t="s">
        <v>143</v>
      </c>
      <c r="C146" s="51" t="s">
        <v>3</v>
      </c>
      <c r="D146" s="66" t="s">
        <v>139</v>
      </c>
      <c r="E146" s="52" t="s">
        <v>263</v>
      </c>
      <c r="F146" s="52" t="s">
        <v>190</v>
      </c>
      <c r="G146" s="67"/>
      <c r="H146" s="68"/>
      <c r="I146" s="68">
        <v>46152</v>
      </c>
      <c r="J146" s="68"/>
      <c r="K146" s="69">
        <v>11.3</v>
      </c>
      <c r="L146" s="52" t="s">
        <v>188</v>
      </c>
      <c r="M146" s="66">
        <v>108</v>
      </c>
      <c r="N146" s="68">
        <v>46155</v>
      </c>
      <c r="O146" s="69">
        <v>14.3</v>
      </c>
    </row>
    <row r="147" spans="1:15" ht="18.600000000000001" customHeight="1" x14ac:dyDescent="0.3">
      <c r="A147" s="66">
        <v>21</v>
      </c>
      <c r="B147" s="67" t="s">
        <v>144</v>
      </c>
      <c r="C147" s="51" t="s">
        <v>3</v>
      </c>
      <c r="D147" s="66" t="s">
        <v>139</v>
      </c>
      <c r="E147" s="52" t="s">
        <v>263</v>
      </c>
      <c r="F147" s="52" t="s">
        <v>190</v>
      </c>
      <c r="G147" s="67"/>
      <c r="H147" s="68"/>
      <c r="I147" s="68">
        <v>46152</v>
      </c>
      <c r="J147" s="68"/>
      <c r="K147" s="69">
        <v>11.3</v>
      </c>
      <c r="L147" s="52" t="s">
        <v>188</v>
      </c>
      <c r="M147" s="66">
        <v>108</v>
      </c>
      <c r="N147" s="68">
        <v>46155</v>
      </c>
      <c r="O147" s="69">
        <v>14.3</v>
      </c>
    </row>
    <row r="148" spans="1:15" ht="18.600000000000001" customHeight="1" x14ac:dyDescent="0.3">
      <c r="A148" s="66">
        <v>22</v>
      </c>
      <c r="B148" s="67" t="s">
        <v>22</v>
      </c>
      <c r="C148" s="51" t="s">
        <v>22</v>
      </c>
      <c r="D148" s="66" t="s">
        <v>139</v>
      </c>
      <c r="E148" s="52" t="s">
        <v>264</v>
      </c>
      <c r="F148" s="52" t="s">
        <v>216</v>
      </c>
      <c r="G148" s="67"/>
      <c r="H148" s="68"/>
      <c r="I148" s="68">
        <v>46152</v>
      </c>
      <c r="J148" s="68"/>
      <c r="K148" s="69">
        <v>19.3</v>
      </c>
      <c r="L148" s="52" t="s">
        <v>188</v>
      </c>
      <c r="M148" s="66">
        <v>109</v>
      </c>
      <c r="N148" s="68">
        <v>46155</v>
      </c>
      <c r="O148" s="69">
        <v>14.3</v>
      </c>
    </row>
    <row r="149" spans="1:15" ht="18.600000000000001" customHeight="1" x14ac:dyDescent="0.3">
      <c r="A149" s="66">
        <v>23</v>
      </c>
      <c r="B149" s="67" t="s">
        <v>23</v>
      </c>
      <c r="C149" s="51" t="s">
        <v>22</v>
      </c>
      <c r="D149" s="66" t="s">
        <v>139</v>
      </c>
      <c r="E149" s="52" t="s">
        <v>264</v>
      </c>
      <c r="F149" s="52" t="s">
        <v>216</v>
      </c>
      <c r="G149" s="67"/>
      <c r="H149" s="68"/>
      <c r="I149" s="68">
        <v>46152</v>
      </c>
      <c r="J149" s="68"/>
      <c r="K149" s="69">
        <v>19.3</v>
      </c>
      <c r="L149" s="52" t="s">
        <v>188</v>
      </c>
      <c r="M149" s="66">
        <v>109</v>
      </c>
      <c r="N149" s="68">
        <v>46155</v>
      </c>
      <c r="O149" s="69">
        <v>14.3</v>
      </c>
    </row>
    <row r="150" spans="1:15" ht="18.600000000000001" customHeight="1" x14ac:dyDescent="0.3">
      <c r="A150" s="66">
        <v>24</v>
      </c>
      <c r="B150" s="67" t="s">
        <v>145</v>
      </c>
      <c r="C150" s="51" t="s">
        <v>22</v>
      </c>
      <c r="D150" s="66" t="s">
        <v>139</v>
      </c>
      <c r="E150" s="52" t="s">
        <v>264</v>
      </c>
      <c r="F150" s="52" t="s">
        <v>216</v>
      </c>
      <c r="G150" s="67"/>
      <c r="H150" s="68"/>
      <c r="I150" s="68">
        <v>46152</v>
      </c>
      <c r="J150" s="68"/>
      <c r="K150" s="69">
        <v>19.3</v>
      </c>
      <c r="L150" s="52" t="s">
        <v>188</v>
      </c>
      <c r="M150" s="66">
        <v>109</v>
      </c>
      <c r="N150" s="68">
        <v>46155</v>
      </c>
      <c r="O150" s="69">
        <v>14.3</v>
      </c>
    </row>
    <row r="151" spans="1:15" ht="18.600000000000001" customHeight="1" x14ac:dyDescent="0.3">
      <c r="A151" s="66">
        <v>25</v>
      </c>
      <c r="B151" s="67" t="s">
        <v>146</v>
      </c>
      <c r="C151" s="51" t="s">
        <v>22</v>
      </c>
      <c r="D151" s="66" t="s">
        <v>139</v>
      </c>
      <c r="E151" s="52" t="s">
        <v>264</v>
      </c>
      <c r="F151" s="52" t="s">
        <v>216</v>
      </c>
      <c r="G151" s="67"/>
      <c r="H151" s="68"/>
      <c r="I151" s="68">
        <v>46152</v>
      </c>
      <c r="J151" s="68"/>
      <c r="K151" s="69">
        <v>19.3</v>
      </c>
      <c r="L151" s="52" t="s">
        <v>188</v>
      </c>
      <c r="M151" s="66">
        <v>109</v>
      </c>
      <c r="N151" s="68">
        <v>46155</v>
      </c>
      <c r="O151" s="69">
        <v>14.3</v>
      </c>
    </row>
    <row r="152" spans="1:15" ht="18.600000000000001" customHeight="1" x14ac:dyDescent="0.3">
      <c r="A152" s="66">
        <v>26</v>
      </c>
      <c r="B152" s="67" t="s">
        <v>24</v>
      </c>
      <c r="C152" s="51" t="s">
        <v>24</v>
      </c>
      <c r="D152" s="66" t="s">
        <v>139</v>
      </c>
      <c r="E152" s="52" t="s">
        <v>264</v>
      </c>
      <c r="F152" s="52" t="s">
        <v>216</v>
      </c>
      <c r="G152" s="67"/>
      <c r="H152" s="68"/>
      <c r="I152" s="68">
        <v>46152</v>
      </c>
      <c r="J152" s="68"/>
      <c r="K152" s="69">
        <v>19.3</v>
      </c>
      <c r="L152" s="52" t="s">
        <v>188</v>
      </c>
      <c r="M152" s="66">
        <v>110</v>
      </c>
      <c r="N152" s="68">
        <v>46155</v>
      </c>
      <c r="O152" s="69">
        <v>14.3</v>
      </c>
    </row>
    <row r="153" spans="1:15" ht="18.600000000000001" customHeight="1" x14ac:dyDescent="0.3">
      <c r="A153" s="66">
        <v>27</v>
      </c>
      <c r="B153" s="67" t="s">
        <v>31</v>
      </c>
      <c r="C153" s="51" t="s">
        <v>24</v>
      </c>
      <c r="D153" s="66" t="s">
        <v>139</v>
      </c>
      <c r="E153" s="52" t="s">
        <v>264</v>
      </c>
      <c r="F153" s="52" t="s">
        <v>216</v>
      </c>
      <c r="G153" s="67"/>
      <c r="H153" s="68"/>
      <c r="I153" s="68">
        <v>46152</v>
      </c>
      <c r="J153" s="68"/>
      <c r="K153" s="69">
        <v>19.3</v>
      </c>
      <c r="L153" s="52" t="s">
        <v>188</v>
      </c>
      <c r="M153" s="66">
        <v>110</v>
      </c>
      <c r="N153" s="68">
        <v>46155</v>
      </c>
      <c r="O153" s="69">
        <v>14.3</v>
      </c>
    </row>
    <row r="154" spans="1:15" ht="18.600000000000001" customHeight="1" x14ac:dyDescent="0.3">
      <c r="A154" s="66">
        <v>28</v>
      </c>
      <c r="B154" s="67" t="s">
        <v>147</v>
      </c>
      <c r="C154" s="51" t="s">
        <v>24</v>
      </c>
      <c r="D154" s="66" t="s">
        <v>139</v>
      </c>
      <c r="E154" s="52" t="s">
        <v>264</v>
      </c>
      <c r="F154" s="52" t="s">
        <v>216</v>
      </c>
      <c r="G154" s="67"/>
      <c r="H154" s="68"/>
      <c r="I154" s="68">
        <v>46152</v>
      </c>
      <c r="J154" s="68"/>
      <c r="K154" s="69">
        <v>19.3</v>
      </c>
      <c r="L154" s="52" t="s">
        <v>188</v>
      </c>
      <c r="M154" s="66">
        <v>110</v>
      </c>
      <c r="N154" s="68">
        <v>46155</v>
      </c>
      <c r="O154" s="69">
        <v>14.3</v>
      </c>
    </row>
    <row r="155" spans="1:15" ht="18.600000000000001" customHeight="1" x14ac:dyDescent="0.3">
      <c r="A155" s="66">
        <v>29</v>
      </c>
      <c r="B155" s="67" t="s">
        <v>148</v>
      </c>
      <c r="C155" s="51" t="s">
        <v>24</v>
      </c>
      <c r="D155" s="66" t="s">
        <v>139</v>
      </c>
      <c r="E155" s="52" t="s">
        <v>264</v>
      </c>
      <c r="F155" s="52" t="s">
        <v>216</v>
      </c>
      <c r="G155" s="67"/>
      <c r="H155" s="68"/>
      <c r="I155" s="68">
        <v>46152</v>
      </c>
      <c r="J155" s="68"/>
      <c r="K155" s="69">
        <v>19.3</v>
      </c>
      <c r="L155" s="52" t="s">
        <v>188</v>
      </c>
      <c r="M155" s="66">
        <v>110</v>
      </c>
      <c r="N155" s="68">
        <v>46155</v>
      </c>
      <c r="O155" s="69">
        <v>14.3</v>
      </c>
    </row>
    <row r="156" spans="1:15" ht="18.600000000000001" customHeight="1" x14ac:dyDescent="0.3">
      <c r="A156" s="66">
        <v>30</v>
      </c>
      <c r="B156" s="67" t="s">
        <v>46</v>
      </c>
      <c r="C156" s="51" t="s">
        <v>46</v>
      </c>
      <c r="D156" s="66" t="s">
        <v>122</v>
      </c>
      <c r="E156" s="52" t="s">
        <v>217</v>
      </c>
      <c r="F156" s="52" t="s">
        <v>187</v>
      </c>
      <c r="G156" s="67"/>
      <c r="H156" s="68"/>
      <c r="I156" s="68">
        <v>46152</v>
      </c>
      <c r="J156" s="68"/>
      <c r="K156" s="69">
        <v>19.3</v>
      </c>
      <c r="L156" s="52" t="s">
        <v>188</v>
      </c>
      <c r="M156" s="66">
        <v>111</v>
      </c>
      <c r="N156" s="68">
        <v>46155</v>
      </c>
      <c r="O156" s="69">
        <v>14.3</v>
      </c>
    </row>
    <row r="157" spans="1:15" ht="18.600000000000001" customHeight="1" x14ac:dyDescent="0.3">
      <c r="A157" s="66">
        <v>31</v>
      </c>
      <c r="B157" s="67" t="s">
        <v>6</v>
      </c>
      <c r="C157" s="51" t="s">
        <v>46</v>
      </c>
      <c r="D157" s="66" t="s">
        <v>122</v>
      </c>
      <c r="E157" s="52" t="s">
        <v>217</v>
      </c>
      <c r="F157" s="52" t="s">
        <v>187</v>
      </c>
      <c r="G157" s="67"/>
      <c r="H157" s="68"/>
      <c r="I157" s="68">
        <v>46152</v>
      </c>
      <c r="J157" s="68"/>
      <c r="K157" s="69">
        <v>19.3</v>
      </c>
      <c r="L157" s="52" t="s">
        <v>188</v>
      </c>
      <c r="M157" s="66">
        <v>111</v>
      </c>
      <c r="N157" s="68">
        <v>46155</v>
      </c>
      <c r="O157" s="69">
        <v>14.3</v>
      </c>
    </row>
    <row r="158" spans="1:15" ht="18.600000000000001" customHeight="1" x14ac:dyDescent="0.3">
      <c r="A158" s="66">
        <v>32</v>
      </c>
      <c r="B158" s="67" t="s">
        <v>33</v>
      </c>
      <c r="C158" s="51" t="s">
        <v>46</v>
      </c>
      <c r="D158" s="66" t="s">
        <v>122</v>
      </c>
      <c r="E158" s="52" t="s">
        <v>217</v>
      </c>
      <c r="F158" s="52" t="s">
        <v>187</v>
      </c>
      <c r="G158" s="67"/>
      <c r="H158" s="68"/>
      <c r="I158" s="68">
        <v>46152</v>
      </c>
      <c r="J158" s="68"/>
      <c r="K158" s="69">
        <v>19.3</v>
      </c>
      <c r="L158" s="52" t="s">
        <v>188</v>
      </c>
      <c r="M158" s="66">
        <v>111</v>
      </c>
      <c r="N158" s="68">
        <v>46155</v>
      </c>
      <c r="O158" s="69">
        <v>14.3</v>
      </c>
    </row>
    <row r="159" spans="1:15" ht="18.600000000000001" customHeight="1" x14ac:dyDescent="0.3">
      <c r="A159" s="66">
        <v>33</v>
      </c>
      <c r="B159" s="67" t="s">
        <v>31</v>
      </c>
      <c r="C159" s="51" t="s">
        <v>46</v>
      </c>
      <c r="D159" s="66" t="s">
        <v>122</v>
      </c>
      <c r="E159" s="52" t="s">
        <v>217</v>
      </c>
      <c r="F159" s="52" t="s">
        <v>187</v>
      </c>
      <c r="G159" s="67"/>
      <c r="H159" s="68"/>
      <c r="I159" s="68">
        <v>46152</v>
      </c>
      <c r="J159" s="68"/>
      <c r="K159" s="69">
        <v>19.3</v>
      </c>
      <c r="L159" s="52" t="s">
        <v>188</v>
      </c>
      <c r="M159" s="66">
        <v>111</v>
      </c>
      <c r="N159" s="68">
        <v>46155</v>
      </c>
      <c r="O159" s="69">
        <v>14.3</v>
      </c>
    </row>
    <row r="160" spans="1:15" ht="18.600000000000001" customHeight="1" x14ac:dyDescent="0.3">
      <c r="A160" s="66">
        <v>34</v>
      </c>
      <c r="B160" s="71" t="s">
        <v>20</v>
      </c>
      <c r="C160" s="55" t="s">
        <v>20</v>
      </c>
      <c r="D160" s="70" t="s">
        <v>273</v>
      </c>
      <c r="E160" s="56" t="s">
        <v>219</v>
      </c>
      <c r="F160" s="56" t="s">
        <v>187</v>
      </c>
      <c r="G160" s="67"/>
      <c r="H160" s="72"/>
      <c r="I160" s="72">
        <v>46152</v>
      </c>
      <c r="J160" s="72"/>
      <c r="K160" s="73">
        <v>21.3</v>
      </c>
      <c r="L160" s="56" t="s">
        <v>188</v>
      </c>
      <c r="M160" s="56">
        <v>112</v>
      </c>
      <c r="N160" s="72">
        <v>46155</v>
      </c>
      <c r="O160" s="73">
        <v>14.3</v>
      </c>
    </row>
    <row r="161" spans="1:15" ht="18.600000000000001" customHeight="1" x14ac:dyDescent="0.3">
      <c r="A161" s="66">
        <v>35</v>
      </c>
      <c r="B161" s="71" t="s">
        <v>21</v>
      </c>
      <c r="C161" s="55" t="s">
        <v>20</v>
      </c>
      <c r="D161" s="70" t="s">
        <v>273</v>
      </c>
      <c r="E161" s="56" t="s">
        <v>219</v>
      </c>
      <c r="F161" s="56" t="s">
        <v>187</v>
      </c>
      <c r="G161" s="67"/>
      <c r="H161" s="72"/>
      <c r="I161" s="72">
        <v>46152</v>
      </c>
      <c r="J161" s="72"/>
      <c r="K161" s="73">
        <v>21.3</v>
      </c>
      <c r="L161" s="56" t="s">
        <v>188</v>
      </c>
      <c r="M161" s="56">
        <v>112</v>
      </c>
      <c r="N161" s="72">
        <v>46155</v>
      </c>
      <c r="O161" s="73">
        <v>14.3</v>
      </c>
    </row>
    <row r="162" spans="1:15" ht="18.600000000000001" customHeight="1" x14ac:dyDescent="0.3">
      <c r="A162" s="66">
        <v>36</v>
      </c>
      <c r="B162" s="71" t="s">
        <v>149</v>
      </c>
      <c r="C162" s="55" t="s">
        <v>20</v>
      </c>
      <c r="D162" s="70" t="s">
        <v>273</v>
      </c>
      <c r="E162" s="56" t="s">
        <v>219</v>
      </c>
      <c r="F162" s="56" t="s">
        <v>187</v>
      </c>
      <c r="G162" s="67"/>
      <c r="H162" s="72"/>
      <c r="I162" s="72">
        <v>46152</v>
      </c>
      <c r="J162" s="72"/>
      <c r="K162" s="73">
        <v>21.3</v>
      </c>
      <c r="L162" s="56" t="s">
        <v>188</v>
      </c>
      <c r="M162" s="56">
        <v>112</v>
      </c>
      <c r="N162" s="72">
        <v>46155</v>
      </c>
      <c r="O162" s="73">
        <v>14.3</v>
      </c>
    </row>
    <row r="163" spans="1:15" ht="18.600000000000001" customHeight="1" x14ac:dyDescent="0.3">
      <c r="A163" s="66">
        <v>37</v>
      </c>
      <c r="B163" s="71" t="s">
        <v>150</v>
      </c>
      <c r="C163" s="55" t="s">
        <v>20</v>
      </c>
      <c r="D163" s="70" t="s">
        <v>273</v>
      </c>
      <c r="E163" s="56" t="s">
        <v>219</v>
      </c>
      <c r="F163" s="56" t="s">
        <v>187</v>
      </c>
      <c r="G163" s="67"/>
      <c r="H163" s="72"/>
      <c r="I163" s="72">
        <v>46152</v>
      </c>
      <c r="J163" s="72"/>
      <c r="K163" s="73">
        <v>21.3</v>
      </c>
      <c r="L163" s="56" t="s">
        <v>188</v>
      </c>
      <c r="M163" s="56">
        <v>112</v>
      </c>
      <c r="N163" s="72">
        <v>46155</v>
      </c>
      <c r="O163" s="73">
        <v>14.3</v>
      </c>
    </row>
    <row r="164" spans="1:15" ht="18.600000000000001" customHeight="1" x14ac:dyDescent="0.3">
      <c r="A164" s="66">
        <v>38</v>
      </c>
      <c r="B164" s="67" t="s">
        <v>7</v>
      </c>
      <c r="C164" s="51" t="s">
        <v>266</v>
      </c>
      <c r="D164" s="66" t="s">
        <v>139</v>
      </c>
      <c r="E164" s="52" t="s">
        <v>263</v>
      </c>
      <c r="F164" s="52" t="s">
        <v>190</v>
      </c>
      <c r="G164" s="67"/>
      <c r="H164" s="68"/>
      <c r="I164" s="68">
        <v>46152</v>
      </c>
      <c r="J164" s="68"/>
      <c r="K164" s="69">
        <v>11.3</v>
      </c>
      <c r="L164" s="52" t="s">
        <v>188</v>
      </c>
      <c r="M164" s="66">
        <v>113</v>
      </c>
      <c r="N164" s="68">
        <v>46155</v>
      </c>
      <c r="O164" s="69">
        <v>14.3</v>
      </c>
    </row>
    <row r="165" spans="1:15" ht="18.600000000000001" customHeight="1" x14ac:dyDescent="0.3">
      <c r="A165" s="66">
        <v>39</v>
      </c>
      <c r="B165" s="67" t="s">
        <v>48</v>
      </c>
      <c r="C165" s="51" t="s">
        <v>48</v>
      </c>
      <c r="D165" s="66" t="s">
        <v>122</v>
      </c>
      <c r="E165" s="52" t="s">
        <v>217</v>
      </c>
      <c r="F165" s="52" t="s">
        <v>187</v>
      </c>
      <c r="G165" s="67"/>
      <c r="H165" s="68"/>
      <c r="I165" s="68">
        <v>46152</v>
      </c>
      <c r="J165" s="68"/>
      <c r="K165" s="69">
        <v>19.3</v>
      </c>
      <c r="L165" s="52" t="s">
        <v>221</v>
      </c>
      <c r="M165" s="52">
        <v>1</v>
      </c>
      <c r="N165" s="68">
        <v>46155</v>
      </c>
      <c r="O165" s="69">
        <v>14.3</v>
      </c>
    </row>
    <row r="166" spans="1:15" ht="18.600000000000001" customHeight="1" x14ac:dyDescent="0.3">
      <c r="A166" s="66">
        <v>40</v>
      </c>
      <c r="B166" s="67" t="s">
        <v>8</v>
      </c>
      <c r="C166" s="51" t="s">
        <v>48</v>
      </c>
      <c r="D166" s="66" t="s">
        <v>122</v>
      </c>
      <c r="E166" s="52" t="s">
        <v>217</v>
      </c>
      <c r="F166" s="52" t="s">
        <v>187</v>
      </c>
      <c r="G166" s="67"/>
      <c r="H166" s="68"/>
      <c r="I166" s="68">
        <v>46152</v>
      </c>
      <c r="J166" s="68"/>
      <c r="K166" s="69">
        <v>19.3</v>
      </c>
      <c r="L166" s="52" t="s">
        <v>221</v>
      </c>
      <c r="M166" s="52">
        <v>1</v>
      </c>
      <c r="N166" s="68">
        <v>46155</v>
      </c>
      <c r="O166" s="69">
        <v>14.3</v>
      </c>
    </row>
    <row r="167" spans="1:15" ht="18.600000000000001" customHeight="1" x14ac:dyDescent="0.3">
      <c r="A167" s="66">
        <v>41</v>
      </c>
      <c r="B167" s="67" t="s">
        <v>28</v>
      </c>
      <c r="C167" s="51" t="s">
        <v>28</v>
      </c>
      <c r="D167" s="66" t="s">
        <v>122</v>
      </c>
      <c r="E167" s="52" t="s">
        <v>217</v>
      </c>
      <c r="F167" s="52" t="s">
        <v>187</v>
      </c>
      <c r="G167" s="67"/>
      <c r="H167" s="68"/>
      <c r="I167" s="68">
        <v>46152</v>
      </c>
      <c r="J167" s="68"/>
      <c r="K167" s="69">
        <v>19.3</v>
      </c>
      <c r="L167" s="52" t="s">
        <v>221</v>
      </c>
      <c r="M167" s="52">
        <v>4</v>
      </c>
      <c r="N167" s="68">
        <v>46155</v>
      </c>
      <c r="O167" s="69">
        <v>14.3</v>
      </c>
    </row>
    <row r="168" spans="1:15" ht="18.600000000000001" customHeight="1" x14ac:dyDescent="0.3">
      <c r="A168" s="66">
        <v>42</v>
      </c>
      <c r="B168" s="67" t="s">
        <v>9</v>
      </c>
      <c r="C168" s="51" t="s">
        <v>28</v>
      </c>
      <c r="D168" s="66" t="s">
        <v>122</v>
      </c>
      <c r="E168" s="52" t="s">
        <v>217</v>
      </c>
      <c r="F168" s="52" t="s">
        <v>187</v>
      </c>
      <c r="G168" s="67"/>
      <c r="H168" s="68"/>
      <c r="I168" s="68">
        <v>46152</v>
      </c>
      <c r="J168" s="68"/>
      <c r="K168" s="69">
        <v>19.3</v>
      </c>
      <c r="L168" s="52" t="s">
        <v>221</v>
      </c>
      <c r="M168" s="52">
        <v>4</v>
      </c>
      <c r="N168" s="68">
        <v>46155</v>
      </c>
      <c r="O168" s="69">
        <v>14.3</v>
      </c>
    </row>
    <row r="169" spans="1:15" ht="18.600000000000001" customHeight="1" x14ac:dyDescent="0.3">
      <c r="A169" s="66">
        <v>43</v>
      </c>
      <c r="B169" s="67" t="s">
        <v>49</v>
      </c>
      <c r="C169" s="51" t="s">
        <v>28</v>
      </c>
      <c r="D169" s="66" t="s">
        <v>122</v>
      </c>
      <c r="E169" s="52" t="s">
        <v>217</v>
      </c>
      <c r="F169" s="52" t="s">
        <v>187</v>
      </c>
      <c r="G169" s="67"/>
      <c r="H169" s="68"/>
      <c r="I169" s="68">
        <v>46152</v>
      </c>
      <c r="J169" s="68"/>
      <c r="K169" s="69">
        <v>19.3</v>
      </c>
      <c r="L169" s="52" t="s">
        <v>221</v>
      </c>
      <c r="M169" s="52">
        <v>13</v>
      </c>
      <c r="N169" s="68">
        <v>46155</v>
      </c>
      <c r="O169" s="69">
        <v>14.3</v>
      </c>
    </row>
    <row r="170" spans="1:15" ht="18.600000000000001" customHeight="1" x14ac:dyDescent="0.3">
      <c r="A170" s="66">
        <v>44</v>
      </c>
      <c r="B170" s="71" t="s">
        <v>271</v>
      </c>
      <c r="C170" s="51" t="s">
        <v>28</v>
      </c>
      <c r="D170" s="66" t="s">
        <v>122</v>
      </c>
      <c r="E170" s="52" t="s">
        <v>217</v>
      </c>
      <c r="F170" s="52" t="s">
        <v>187</v>
      </c>
      <c r="G170" s="67"/>
      <c r="H170" s="68"/>
      <c r="I170" s="68">
        <v>46152</v>
      </c>
      <c r="J170" s="68"/>
      <c r="K170" s="69">
        <v>19.3</v>
      </c>
      <c r="L170" s="52" t="s">
        <v>221</v>
      </c>
      <c r="M170" s="52">
        <v>13</v>
      </c>
      <c r="N170" s="68">
        <v>46155</v>
      </c>
      <c r="O170" s="69">
        <v>14.3</v>
      </c>
    </row>
    <row r="171" spans="1:15" ht="18.600000000000001" customHeight="1" x14ac:dyDescent="0.3">
      <c r="A171" s="66">
        <v>45</v>
      </c>
      <c r="B171" s="67" t="s">
        <v>52</v>
      </c>
      <c r="C171" s="51" t="s">
        <v>224</v>
      </c>
      <c r="D171" s="66" t="s">
        <v>122</v>
      </c>
      <c r="E171" s="52" t="s">
        <v>229</v>
      </c>
      <c r="F171" s="52" t="s">
        <v>187</v>
      </c>
      <c r="G171" s="67"/>
      <c r="H171" s="68"/>
      <c r="I171" s="68">
        <v>46152</v>
      </c>
      <c r="J171" s="68"/>
      <c r="K171" s="69">
        <v>19.3</v>
      </c>
      <c r="L171" s="52" t="s">
        <v>188</v>
      </c>
      <c r="M171" s="52">
        <v>114</v>
      </c>
      <c r="N171" s="68">
        <v>46155</v>
      </c>
      <c r="O171" s="69">
        <v>14.3</v>
      </c>
    </row>
    <row r="172" spans="1:15" ht="18.600000000000001" customHeight="1" x14ac:dyDescent="0.3">
      <c r="A172" s="66">
        <v>46</v>
      </c>
      <c r="B172" s="71" t="s">
        <v>37</v>
      </c>
      <c r="C172" s="55" t="s">
        <v>224</v>
      </c>
      <c r="D172" s="70" t="s">
        <v>122</v>
      </c>
      <c r="E172" s="56" t="s">
        <v>229</v>
      </c>
      <c r="F172" s="56" t="s">
        <v>187</v>
      </c>
      <c r="G172" s="67"/>
      <c r="H172" s="72"/>
      <c r="I172" s="72">
        <v>46152</v>
      </c>
      <c r="J172" s="72"/>
      <c r="K172" s="73">
        <v>19.3</v>
      </c>
      <c r="L172" s="56" t="s">
        <v>188</v>
      </c>
      <c r="M172" s="56">
        <v>114</v>
      </c>
      <c r="N172" s="72">
        <v>46155</v>
      </c>
      <c r="O172" s="73">
        <v>14.3</v>
      </c>
    </row>
    <row r="173" spans="1:15" ht="18.600000000000001" customHeight="1" x14ac:dyDescent="0.3">
      <c r="A173" s="66">
        <v>47</v>
      </c>
      <c r="B173" s="67" t="s">
        <v>151</v>
      </c>
      <c r="C173" s="51" t="s">
        <v>25</v>
      </c>
      <c r="D173" s="66" t="s">
        <v>218</v>
      </c>
      <c r="E173" s="52" t="s">
        <v>219</v>
      </c>
      <c r="F173" s="52" t="s">
        <v>187</v>
      </c>
      <c r="G173" s="67"/>
      <c r="H173" s="68"/>
      <c r="I173" s="68">
        <v>46152</v>
      </c>
      <c r="J173" s="68"/>
      <c r="K173" s="69">
        <v>21.3</v>
      </c>
      <c r="L173" s="52" t="s">
        <v>188</v>
      </c>
      <c r="M173" s="52">
        <v>114</v>
      </c>
      <c r="N173" s="68">
        <v>46155</v>
      </c>
      <c r="O173" s="69">
        <v>14.3</v>
      </c>
    </row>
    <row r="174" spans="1:15" ht="18.600000000000001" customHeight="1" x14ac:dyDescent="0.3">
      <c r="A174" s="66">
        <v>48</v>
      </c>
      <c r="B174" s="67" t="s">
        <v>79</v>
      </c>
      <c r="C174" s="51" t="s">
        <v>266</v>
      </c>
      <c r="D174" s="66" t="s">
        <v>139</v>
      </c>
      <c r="E174" s="52" t="s">
        <v>264</v>
      </c>
      <c r="F174" s="52" t="s">
        <v>216</v>
      </c>
      <c r="G174" s="67"/>
      <c r="H174" s="68"/>
      <c r="I174" s="68">
        <v>46152</v>
      </c>
      <c r="J174" s="68"/>
      <c r="K174" s="69">
        <v>19.3</v>
      </c>
      <c r="L174" s="52" t="s">
        <v>188</v>
      </c>
      <c r="M174" s="66">
        <v>113</v>
      </c>
      <c r="N174" s="68">
        <v>46155</v>
      </c>
      <c r="O174" s="69">
        <v>14.3</v>
      </c>
    </row>
    <row r="175" spans="1:15" ht="18.600000000000001" customHeight="1" x14ac:dyDescent="0.3">
      <c r="A175" s="66">
        <v>49</v>
      </c>
      <c r="B175" s="71" t="s">
        <v>227</v>
      </c>
      <c r="C175" s="55" t="s">
        <v>23</v>
      </c>
      <c r="D175" s="70" t="s">
        <v>139</v>
      </c>
      <c r="E175" s="56" t="s">
        <v>264</v>
      </c>
      <c r="F175" s="56" t="s">
        <v>216</v>
      </c>
      <c r="G175" s="67"/>
      <c r="H175" s="72"/>
      <c r="I175" s="72">
        <v>46152</v>
      </c>
      <c r="J175" s="72"/>
      <c r="K175" s="73">
        <v>19.3</v>
      </c>
      <c r="L175" s="56" t="s">
        <v>188</v>
      </c>
      <c r="M175" s="70">
        <v>209</v>
      </c>
      <c r="N175" s="72">
        <v>46155</v>
      </c>
      <c r="O175" s="73">
        <v>14.3</v>
      </c>
    </row>
    <row r="176" spans="1:15" ht="18.600000000000001" customHeight="1" x14ac:dyDescent="0.3">
      <c r="A176" s="66">
        <v>50</v>
      </c>
      <c r="B176" s="71" t="s">
        <v>226</v>
      </c>
      <c r="C176" s="55" t="s">
        <v>23</v>
      </c>
      <c r="D176" s="70" t="s">
        <v>139</v>
      </c>
      <c r="E176" s="56" t="s">
        <v>264</v>
      </c>
      <c r="F176" s="56" t="s">
        <v>216</v>
      </c>
      <c r="G176" s="67"/>
      <c r="H176" s="72"/>
      <c r="I176" s="72">
        <v>46152</v>
      </c>
      <c r="J176" s="72"/>
      <c r="K176" s="73">
        <v>19.3</v>
      </c>
      <c r="L176" s="56" t="s">
        <v>188</v>
      </c>
      <c r="M176" s="70">
        <v>209</v>
      </c>
      <c r="N176" s="72">
        <v>46155</v>
      </c>
      <c r="O176" s="73">
        <v>14.3</v>
      </c>
    </row>
    <row r="177" spans="1:15" ht="18.600000000000001" customHeight="1" x14ac:dyDescent="0.3">
      <c r="A177" s="66">
        <v>51</v>
      </c>
      <c r="B177" s="67" t="s">
        <v>14</v>
      </c>
      <c r="C177" s="51" t="s">
        <v>14</v>
      </c>
      <c r="D177" s="66" t="s">
        <v>122</v>
      </c>
      <c r="E177" s="52" t="s">
        <v>229</v>
      </c>
      <c r="F177" s="52" t="s">
        <v>187</v>
      </c>
      <c r="G177" s="67"/>
      <c r="H177" s="68"/>
      <c r="I177" s="68">
        <v>46152</v>
      </c>
      <c r="J177" s="68"/>
      <c r="K177" s="69">
        <v>19.3</v>
      </c>
      <c r="L177" s="52" t="s">
        <v>188</v>
      </c>
      <c r="M177" s="66">
        <v>203</v>
      </c>
      <c r="N177" s="68">
        <v>46155</v>
      </c>
      <c r="O177" s="69">
        <v>14.3</v>
      </c>
    </row>
    <row r="178" spans="1:15" ht="18.600000000000001" customHeight="1" x14ac:dyDescent="0.3">
      <c r="A178" s="66">
        <v>52</v>
      </c>
      <c r="B178" s="67" t="s">
        <v>36</v>
      </c>
      <c r="C178" s="51" t="s">
        <v>14</v>
      </c>
      <c r="D178" s="66" t="s">
        <v>122</v>
      </c>
      <c r="E178" s="52" t="s">
        <v>229</v>
      </c>
      <c r="F178" s="52" t="s">
        <v>187</v>
      </c>
      <c r="G178" s="67"/>
      <c r="H178" s="68"/>
      <c r="I178" s="68">
        <v>46152</v>
      </c>
      <c r="J178" s="68"/>
      <c r="K178" s="69">
        <v>19.3</v>
      </c>
      <c r="L178" s="52" t="s">
        <v>188</v>
      </c>
      <c r="M178" s="66">
        <v>203</v>
      </c>
      <c r="N178" s="68">
        <v>46155</v>
      </c>
      <c r="O178" s="69">
        <v>14.3</v>
      </c>
    </row>
    <row r="179" spans="1:15" ht="18.600000000000001" customHeight="1" x14ac:dyDescent="0.3">
      <c r="A179" s="66">
        <v>53</v>
      </c>
      <c r="B179" s="67" t="s">
        <v>153</v>
      </c>
      <c r="C179" s="51" t="s">
        <v>14</v>
      </c>
      <c r="D179" s="66" t="s">
        <v>122</v>
      </c>
      <c r="E179" s="52" t="s">
        <v>229</v>
      </c>
      <c r="F179" s="52" t="s">
        <v>187</v>
      </c>
      <c r="G179" s="67"/>
      <c r="H179" s="68"/>
      <c r="I179" s="68">
        <v>46152</v>
      </c>
      <c r="J179" s="68"/>
      <c r="K179" s="69">
        <v>19.3</v>
      </c>
      <c r="L179" s="52" t="s">
        <v>188</v>
      </c>
      <c r="M179" s="52">
        <v>203</v>
      </c>
      <c r="N179" s="68">
        <v>46155</v>
      </c>
      <c r="O179" s="69">
        <v>14.3</v>
      </c>
    </row>
    <row r="180" spans="1:15" ht="18.600000000000001" customHeight="1" x14ac:dyDescent="0.3">
      <c r="A180" s="66">
        <v>54</v>
      </c>
      <c r="B180" s="67" t="s">
        <v>54</v>
      </c>
      <c r="C180" s="67" t="s">
        <v>54</v>
      </c>
      <c r="D180" s="66" t="s">
        <v>122</v>
      </c>
      <c r="E180" s="52" t="s">
        <v>212</v>
      </c>
      <c r="F180" s="52" t="s">
        <v>115</v>
      </c>
      <c r="G180" s="67"/>
      <c r="H180" s="68"/>
      <c r="I180" s="68">
        <v>46152</v>
      </c>
      <c r="J180" s="68"/>
      <c r="K180" s="69">
        <v>19.3</v>
      </c>
      <c r="L180" s="52" t="s">
        <v>188</v>
      </c>
      <c r="M180" s="66">
        <v>204</v>
      </c>
      <c r="N180" s="68">
        <v>46155</v>
      </c>
      <c r="O180" s="69">
        <v>14.3</v>
      </c>
    </row>
    <row r="181" spans="1:15" ht="18.600000000000001" customHeight="1" x14ac:dyDescent="0.3">
      <c r="A181" s="66">
        <v>55</v>
      </c>
      <c r="B181" s="67" t="s">
        <v>55</v>
      </c>
      <c r="C181" s="67" t="s">
        <v>54</v>
      </c>
      <c r="D181" s="66" t="s">
        <v>122</v>
      </c>
      <c r="E181" s="52" t="s">
        <v>212</v>
      </c>
      <c r="F181" s="52" t="s">
        <v>115</v>
      </c>
      <c r="G181" s="67"/>
      <c r="H181" s="68"/>
      <c r="I181" s="68">
        <v>46152</v>
      </c>
      <c r="J181" s="68"/>
      <c r="K181" s="69">
        <v>19.3</v>
      </c>
      <c r="L181" s="52" t="s">
        <v>188</v>
      </c>
      <c r="M181" s="66">
        <v>204</v>
      </c>
      <c r="N181" s="68">
        <v>46155</v>
      </c>
      <c r="O181" s="69">
        <v>14.3</v>
      </c>
    </row>
    <row r="182" spans="1:15" ht="18.600000000000001" customHeight="1" x14ac:dyDescent="0.3">
      <c r="A182" s="66">
        <v>56</v>
      </c>
      <c r="B182" s="67" t="s">
        <v>56</v>
      </c>
      <c r="C182" s="67" t="s">
        <v>230</v>
      </c>
      <c r="D182" s="66" t="s">
        <v>218</v>
      </c>
      <c r="E182" s="52" t="s">
        <v>259</v>
      </c>
      <c r="F182" s="52" t="s">
        <v>228</v>
      </c>
      <c r="G182" s="67"/>
      <c r="H182" s="68"/>
      <c r="I182" s="68">
        <v>46152</v>
      </c>
      <c r="J182" s="68"/>
      <c r="K182" s="69">
        <v>11.3</v>
      </c>
      <c r="L182" s="52" t="s">
        <v>188</v>
      </c>
      <c r="M182" s="66">
        <v>205</v>
      </c>
      <c r="N182" s="68">
        <v>46155</v>
      </c>
      <c r="O182" s="69">
        <v>14.3</v>
      </c>
    </row>
    <row r="183" spans="1:15" ht="18.600000000000001" customHeight="1" x14ac:dyDescent="0.3">
      <c r="A183" s="66">
        <v>57</v>
      </c>
      <c r="B183" s="67" t="s">
        <v>57</v>
      </c>
      <c r="C183" s="67" t="s">
        <v>230</v>
      </c>
      <c r="D183" s="66" t="s">
        <v>218</v>
      </c>
      <c r="E183" s="52" t="s">
        <v>259</v>
      </c>
      <c r="F183" s="52" t="s">
        <v>228</v>
      </c>
      <c r="G183" s="67"/>
      <c r="H183" s="68"/>
      <c r="I183" s="68">
        <v>46152</v>
      </c>
      <c r="J183" s="68"/>
      <c r="K183" s="69">
        <v>11.3</v>
      </c>
      <c r="L183" s="52" t="s">
        <v>188</v>
      </c>
      <c r="M183" s="66">
        <v>205</v>
      </c>
      <c r="N183" s="68">
        <v>46155</v>
      </c>
      <c r="O183" s="69">
        <v>14.3</v>
      </c>
    </row>
    <row r="184" spans="1:15" ht="18.600000000000001" customHeight="1" x14ac:dyDescent="0.3">
      <c r="A184" s="66">
        <v>58</v>
      </c>
      <c r="B184" s="67" t="s">
        <v>26</v>
      </c>
      <c r="C184" s="67" t="s">
        <v>230</v>
      </c>
      <c r="D184" s="66" t="s">
        <v>218</v>
      </c>
      <c r="E184" s="52" t="s">
        <v>259</v>
      </c>
      <c r="F184" s="52" t="s">
        <v>228</v>
      </c>
      <c r="G184" s="67"/>
      <c r="H184" s="68"/>
      <c r="I184" s="68">
        <v>46152</v>
      </c>
      <c r="J184" s="68"/>
      <c r="K184" s="69">
        <v>11.3</v>
      </c>
      <c r="L184" s="52" t="s">
        <v>188</v>
      </c>
      <c r="M184" s="66">
        <v>205</v>
      </c>
      <c r="N184" s="68">
        <v>46155</v>
      </c>
      <c r="O184" s="69">
        <v>14.3</v>
      </c>
    </row>
    <row r="185" spans="1:15" ht="18.600000000000001" customHeight="1" x14ac:dyDescent="0.3">
      <c r="A185" s="66">
        <v>59</v>
      </c>
      <c r="B185" s="67" t="s">
        <v>154</v>
      </c>
      <c r="C185" s="51" t="s">
        <v>154</v>
      </c>
      <c r="D185" s="66" t="s">
        <v>122</v>
      </c>
      <c r="E185" s="52" t="s">
        <v>217</v>
      </c>
      <c r="F185" s="52" t="s">
        <v>187</v>
      </c>
      <c r="G185" s="67"/>
      <c r="H185" s="68"/>
      <c r="I185" s="68">
        <v>46152</v>
      </c>
      <c r="J185" s="68"/>
      <c r="K185" s="69">
        <v>19.3</v>
      </c>
      <c r="L185" s="52" t="s">
        <v>188</v>
      </c>
      <c r="M185" s="52">
        <v>206</v>
      </c>
      <c r="N185" s="68">
        <v>46155</v>
      </c>
      <c r="O185" s="69">
        <v>14.3</v>
      </c>
    </row>
    <row r="186" spans="1:15" ht="18.600000000000001" customHeight="1" x14ac:dyDescent="0.3">
      <c r="A186" s="66">
        <v>60</v>
      </c>
      <c r="B186" s="67" t="s">
        <v>62</v>
      </c>
      <c r="C186" s="51" t="s">
        <v>154</v>
      </c>
      <c r="D186" s="66" t="s">
        <v>122</v>
      </c>
      <c r="E186" s="52" t="s">
        <v>217</v>
      </c>
      <c r="F186" s="52" t="s">
        <v>187</v>
      </c>
      <c r="G186" s="67"/>
      <c r="H186" s="68"/>
      <c r="I186" s="68">
        <v>46152</v>
      </c>
      <c r="J186" s="68"/>
      <c r="K186" s="69">
        <v>19.3</v>
      </c>
      <c r="L186" s="52" t="s">
        <v>188</v>
      </c>
      <c r="M186" s="52">
        <v>206</v>
      </c>
      <c r="N186" s="68">
        <v>46155</v>
      </c>
      <c r="O186" s="69">
        <v>14.3</v>
      </c>
    </row>
    <row r="187" spans="1:15" ht="18.600000000000001" customHeight="1" x14ac:dyDescent="0.3">
      <c r="A187" s="66">
        <v>61</v>
      </c>
      <c r="B187" s="67" t="s">
        <v>12</v>
      </c>
      <c r="C187" s="67" t="s">
        <v>193</v>
      </c>
      <c r="D187" s="66" t="s">
        <v>122</v>
      </c>
      <c r="E187" s="52" t="s">
        <v>229</v>
      </c>
      <c r="F187" s="52" t="s">
        <v>187</v>
      </c>
      <c r="G187" s="67"/>
      <c r="H187" s="68"/>
      <c r="I187" s="68">
        <v>46152</v>
      </c>
      <c r="J187" s="68"/>
      <c r="K187" s="69">
        <v>19.3</v>
      </c>
      <c r="L187" s="52" t="s">
        <v>188</v>
      </c>
      <c r="M187" s="52">
        <v>210</v>
      </c>
      <c r="N187" s="68">
        <v>46155</v>
      </c>
      <c r="O187" s="69">
        <v>14.3</v>
      </c>
    </row>
    <row r="188" spans="1:15" ht="18.600000000000001" customHeight="1" x14ac:dyDescent="0.3">
      <c r="A188" s="66">
        <v>62</v>
      </c>
      <c r="B188" s="67" t="s">
        <v>64</v>
      </c>
      <c r="C188" s="67" t="s">
        <v>193</v>
      </c>
      <c r="D188" s="66" t="s">
        <v>122</v>
      </c>
      <c r="E188" s="52" t="s">
        <v>229</v>
      </c>
      <c r="F188" s="52" t="s">
        <v>187</v>
      </c>
      <c r="G188" s="67"/>
      <c r="H188" s="68"/>
      <c r="I188" s="68">
        <v>46152</v>
      </c>
      <c r="J188" s="68"/>
      <c r="K188" s="69">
        <v>19.3</v>
      </c>
      <c r="L188" s="52" t="s">
        <v>188</v>
      </c>
      <c r="M188" s="52">
        <v>210</v>
      </c>
      <c r="N188" s="68">
        <v>46155</v>
      </c>
      <c r="O188" s="69">
        <v>14.3</v>
      </c>
    </row>
    <row r="189" spans="1:15" ht="18.600000000000001" customHeight="1" x14ac:dyDescent="0.3">
      <c r="A189" s="66">
        <v>63</v>
      </c>
      <c r="B189" s="67" t="s">
        <v>16</v>
      </c>
      <c r="C189" s="67" t="s">
        <v>236</v>
      </c>
      <c r="D189" s="66" t="s">
        <v>139</v>
      </c>
      <c r="E189" s="52" t="s">
        <v>263</v>
      </c>
      <c r="F189" s="52" t="s">
        <v>237</v>
      </c>
      <c r="G189" s="67"/>
      <c r="H189" s="68"/>
      <c r="I189" s="68">
        <v>46152</v>
      </c>
      <c r="J189" s="68"/>
      <c r="K189" s="69">
        <v>9.3000000000000007</v>
      </c>
      <c r="L189" s="52" t="s">
        <v>221</v>
      </c>
      <c r="M189" s="52">
        <v>14</v>
      </c>
      <c r="N189" s="68">
        <v>46155</v>
      </c>
      <c r="O189" s="69">
        <v>14.3</v>
      </c>
    </row>
    <row r="190" spans="1:15" ht="18.600000000000001" customHeight="1" x14ac:dyDescent="0.3">
      <c r="A190" s="66">
        <v>64</v>
      </c>
      <c r="B190" s="67" t="s">
        <v>65</v>
      </c>
      <c r="C190" s="67" t="s">
        <v>236</v>
      </c>
      <c r="D190" s="66" t="s">
        <v>139</v>
      </c>
      <c r="E190" s="52" t="s">
        <v>263</v>
      </c>
      <c r="F190" s="52" t="s">
        <v>237</v>
      </c>
      <c r="G190" s="67"/>
      <c r="H190" s="68"/>
      <c r="I190" s="68">
        <v>46152</v>
      </c>
      <c r="J190" s="68"/>
      <c r="K190" s="69">
        <v>9.3000000000000007</v>
      </c>
      <c r="L190" s="52" t="s">
        <v>221</v>
      </c>
      <c r="M190" s="52">
        <v>14</v>
      </c>
      <c r="N190" s="68">
        <v>46155</v>
      </c>
      <c r="O190" s="69">
        <v>14.3</v>
      </c>
    </row>
    <row r="191" spans="1:15" ht="18.600000000000001" customHeight="1" x14ac:dyDescent="0.3">
      <c r="A191" s="66">
        <v>65</v>
      </c>
      <c r="B191" s="67" t="s">
        <v>27</v>
      </c>
      <c r="C191" s="67" t="s">
        <v>238</v>
      </c>
      <c r="D191" s="66" t="s">
        <v>122</v>
      </c>
      <c r="E191" s="52" t="s">
        <v>217</v>
      </c>
      <c r="F191" s="52" t="s">
        <v>187</v>
      </c>
      <c r="G191" s="67"/>
      <c r="H191" s="68"/>
      <c r="I191" s="68">
        <v>46152</v>
      </c>
      <c r="J191" s="68"/>
      <c r="K191" s="69">
        <v>19.3</v>
      </c>
      <c r="L191" s="52" t="s">
        <v>221</v>
      </c>
      <c r="M191" s="52">
        <v>15</v>
      </c>
      <c r="N191" s="68">
        <v>46155</v>
      </c>
      <c r="O191" s="69">
        <v>14.3</v>
      </c>
    </row>
    <row r="192" spans="1:15" ht="18.600000000000001" customHeight="1" x14ac:dyDescent="0.3">
      <c r="A192" s="66">
        <v>66</v>
      </c>
      <c r="B192" s="67" t="s">
        <v>66</v>
      </c>
      <c r="C192" s="67" t="s">
        <v>238</v>
      </c>
      <c r="D192" s="66" t="s">
        <v>122</v>
      </c>
      <c r="E192" s="52" t="s">
        <v>217</v>
      </c>
      <c r="F192" s="52" t="s">
        <v>187</v>
      </c>
      <c r="G192" s="67"/>
      <c r="H192" s="68"/>
      <c r="I192" s="68">
        <v>46152</v>
      </c>
      <c r="J192" s="68"/>
      <c r="K192" s="69">
        <v>19.3</v>
      </c>
      <c r="L192" s="52" t="s">
        <v>221</v>
      </c>
      <c r="M192" s="52">
        <v>15</v>
      </c>
      <c r="N192" s="68">
        <v>46155</v>
      </c>
      <c r="O192" s="69">
        <v>14.3</v>
      </c>
    </row>
    <row r="193" spans="1:15" ht="18.600000000000001" customHeight="1" x14ac:dyDescent="0.3">
      <c r="A193" s="66">
        <v>67</v>
      </c>
      <c r="B193" s="67" t="s">
        <v>67</v>
      </c>
      <c r="C193" s="67" t="s">
        <v>239</v>
      </c>
      <c r="D193" s="66" t="s">
        <v>119</v>
      </c>
      <c r="E193" s="52" t="s">
        <v>240</v>
      </c>
      <c r="F193" s="52" t="s">
        <v>115</v>
      </c>
      <c r="G193" s="67"/>
      <c r="H193" s="68"/>
      <c r="I193" s="68">
        <v>46152</v>
      </c>
      <c r="J193" s="68"/>
      <c r="K193" s="69">
        <v>19.3</v>
      </c>
      <c r="L193" s="52" t="s">
        <v>221</v>
      </c>
      <c r="M193" s="52">
        <v>21</v>
      </c>
      <c r="N193" s="68">
        <v>46155</v>
      </c>
      <c r="O193" s="69">
        <v>14.3</v>
      </c>
    </row>
    <row r="194" spans="1:15" ht="18.600000000000001" customHeight="1" x14ac:dyDescent="0.3">
      <c r="A194" s="66">
        <v>68</v>
      </c>
      <c r="B194" s="67" t="s">
        <v>272</v>
      </c>
      <c r="C194" s="67" t="s">
        <v>239</v>
      </c>
      <c r="D194" s="66" t="s">
        <v>119</v>
      </c>
      <c r="E194" s="52" t="s">
        <v>240</v>
      </c>
      <c r="F194" s="52" t="s">
        <v>115</v>
      </c>
      <c r="G194" s="67"/>
      <c r="H194" s="68"/>
      <c r="I194" s="68">
        <v>46152</v>
      </c>
      <c r="J194" s="68"/>
      <c r="K194" s="69">
        <v>19.3</v>
      </c>
      <c r="L194" s="52" t="s">
        <v>221</v>
      </c>
      <c r="M194" s="52">
        <v>21</v>
      </c>
      <c r="N194" s="68">
        <v>46155</v>
      </c>
      <c r="O194" s="69">
        <v>14.3</v>
      </c>
    </row>
    <row r="195" spans="1:15" ht="18.600000000000001" customHeight="1" x14ac:dyDescent="0.3">
      <c r="A195" s="66">
        <v>69</v>
      </c>
      <c r="B195" s="67" t="s">
        <v>111</v>
      </c>
      <c r="C195" s="67" t="s">
        <v>239</v>
      </c>
      <c r="D195" s="66" t="s">
        <v>119</v>
      </c>
      <c r="E195" s="52" t="s">
        <v>240</v>
      </c>
      <c r="F195" s="52" t="s">
        <v>115</v>
      </c>
      <c r="G195" s="67"/>
      <c r="H195" s="68"/>
      <c r="I195" s="68">
        <v>46152</v>
      </c>
      <c r="J195" s="68"/>
      <c r="K195" s="69">
        <v>19.3</v>
      </c>
      <c r="L195" s="52" t="s">
        <v>221</v>
      </c>
      <c r="M195" s="52">
        <v>21</v>
      </c>
      <c r="N195" s="68">
        <v>46155</v>
      </c>
      <c r="O195" s="69">
        <v>14.3</v>
      </c>
    </row>
    <row r="196" spans="1:15" ht="18.600000000000001" customHeight="1" x14ac:dyDescent="0.3">
      <c r="A196" s="66">
        <v>70</v>
      </c>
      <c r="B196" s="67" t="s">
        <v>68</v>
      </c>
      <c r="C196" s="67" t="s">
        <v>241</v>
      </c>
      <c r="D196" s="66" t="s">
        <v>122</v>
      </c>
      <c r="E196" s="52" t="s">
        <v>229</v>
      </c>
      <c r="F196" s="52" t="s">
        <v>187</v>
      </c>
      <c r="G196" s="67"/>
      <c r="H196" s="68"/>
      <c r="I196" s="68">
        <v>46152</v>
      </c>
      <c r="J196" s="68"/>
      <c r="K196" s="69">
        <v>19.3</v>
      </c>
      <c r="L196" s="52" t="s">
        <v>188</v>
      </c>
      <c r="M196" s="52">
        <v>207</v>
      </c>
      <c r="N196" s="68">
        <v>46155</v>
      </c>
      <c r="O196" s="69">
        <v>14.3</v>
      </c>
    </row>
    <row r="197" spans="1:15" ht="18.600000000000001" customHeight="1" x14ac:dyDescent="0.3">
      <c r="A197" s="66">
        <v>71</v>
      </c>
      <c r="B197" s="67" t="s">
        <v>69</v>
      </c>
      <c r="C197" s="67" t="s">
        <v>241</v>
      </c>
      <c r="D197" s="66" t="s">
        <v>122</v>
      </c>
      <c r="E197" s="52" t="s">
        <v>229</v>
      </c>
      <c r="F197" s="52" t="s">
        <v>187</v>
      </c>
      <c r="G197" s="67"/>
      <c r="H197" s="68"/>
      <c r="I197" s="68">
        <v>46152</v>
      </c>
      <c r="J197" s="68"/>
      <c r="K197" s="69">
        <v>19.3</v>
      </c>
      <c r="L197" s="52" t="s">
        <v>188</v>
      </c>
      <c r="M197" s="52">
        <v>207</v>
      </c>
      <c r="N197" s="68">
        <v>46155</v>
      </c>
      <c r="O197" s="69">
        <v>14.3</v>
      </c>
    </row>
    <row r="198" spans="1:15" ht="18.600000000000001" customHeight="1" x14ac:dyDescent="0.3">
      <c r="A198" s="66">
        <v>72</v>
      </c>
      <c r="B198" s="67" t="s">
        <v>70</v>
      </c>
      <c r="C198" s="67" t="s">
        <v>242</v>
      </c>
      <c r="D198" s="66" t="s">
        <v>213</v>
      </c>
      <c r="E198" s="52" t="s">
        <v>262</v>
      </c>
      <c r="F198" s="52" t="s">
        <v>237</v>
      </c>
      <c r="G198" s="67"/>
      <c r="H198" s="68"/>
      <c r="I198" s="68">
        <v>46152</v>
      </c>
      <c r="J198" s="68"/>
      <c r="K198" s="69">
        <v>14</v>
      </c>
      <c r="L198" s="66" t="s">
        <v>221</v>
      </c>
      <c r="M198" s="66">
        <v>16</v>
      </c>
      <c r="N198" s="68">
        <v>46155</v>
      </c>
      <c r="O198" s="69">
        <v>14.3</v>
      </c>
    </row>
    <row r="199" spans="1:15" ht="18.600000000000001" customHeight="1" x14ac:dyDescent="0.3">
      <c r="A199" s="66">
        <v>73</v>
      </c>
      <c r="B199" s="67" t="s">
        <v>243</v>
      </c>
      <c r="C199" s="67" t="s">
        <v>242</v>
      </c>
      <c r="D199" s="66" t="s">
        <v>213</v>
      </c>
      <c r="E199" s="52" t="s">
        <v>262</v>
      </c>
      <c r="F199" s="52" t="s">
        <v>237</v>
      </c>
      <c r="G199" s="67"/>
      <c r="H199" s="68"/>
      <c r="I199" s="68">
        <v>46152</v>
      </c>
      <c r="J199" s="68"/>
      <c r="K199" s="69">
        <v>14</v>
      </c>
      <c r="L199" s="66" t="s">
        <v>221</v>
      </c>
      <c r="M199" s="66">
        <v>16</v>
      </c>
      <c r="N199" s="68">
        <v>46155</v>
      </c>
      <c r="O199" s="69">
        <v>14.3</v>
      </c>
    </row>
    <row r="200" spans="1:15" ht="18.600000000000001" customHeight="1" x14ac:dyDescent="0.3">
      <c r="A200" s="66">
        <v>74</v>
      </c>
      <c r="B200" s="67" t="s">
        <v>71</v>
      </c>
      <c r="C200" s="67" t="s">
        <v>245</v>
      </c>
      <c r="D200" s="66" t="s">
        <v>122</v>
      </c>
      <c r="E200" s="52" t="s">
        <v>229</v>
      </c>
      <c r="F200" s="52" t="s">
        <v>187</v>
      </c>
      <c r="G200" s="67"/>
      <c r="H200" s="68"/>
      <c r="I200" s="68">
        <v>46152</v>
      </c>
      <c r="J200" s="68"/>
      <c r="K200" s="69">
        <v>19.3</v>
      </c>
      <c r="L200" s="52" t="s">
        <v>221</v>
      </c>
      <c r="M200" s="52">
        <v>17</v>
      </c>
      <c r="N200" s="68">
        <v>46155</v>
      </c>
      <c r="O200" s="69">
        <v>14.3</v>
      </c>
    </row>
    <row r="201" spans="1:15" ht="18.600000000000001" customHeight="1" x14ac:dyDescent="0.3">
      <c r="A201" s="66">
        <v>75</v>
      </c>
      <c r="B201" s="67" t="s">
        <v>244</v>
      </c>
      <c r="C201" s="67" t="s">
        <v>245</v>
      </c>
      <c r="D201" s="66" t="s">
        <v>122</v>
      </c>
      <c r="E201" s="52" t="s">
        <v>229</v>
      </c>
      <c r="F201" s="52" t="s">
        <v>187</v>
      </c>
      <c r="G201" s="67"/>
      <c r="H201" s="68"/>
      <c r="I201" s="68">
        <v>46152</v>
      </c>
      <c r="J201" s="68"/>
      <c r="K201" s="69">
        <v>19.3</v>
      </c>
      <c r="L201" s="52" t="s">
        <v>221</v>
      </c>
      <c r="M201" s="52">
        <v>17</v>
      </c>
      <c r="N201" s="68">
        <v>46155</v>
      </c>
      <c r="O201" s="69">
        <v>14.3</v>
      </c>
    </row>
    <row r="202" spans="1:15" ht="18.600000000000001" customHeight="1" x14ac:dyDescent="0.3">
      <c r="A202" s="66">
        <v>76</v>
      </c>
      <c r="B202" s="67" t="s">
        <v>268</v>
      </c>
      <c r="C202" s="67" t="s">
        <v>242</v>
      </c>
      <c r="D202" s="66" t="s">
        <v>213</v>
      </c>
      <c r="E202" s="52" t="s">
        <v>262</v>
      </c>
      <c r="F202" s="52" t="s">
        <v>237</v>
      </c>
      <c r="G202" s="67"/>
      <c r="H202" s="68"/>
      <c r="I202" s="68">
        <v>46152</v>
      </c>
      <c r="J202" s="68"/>
      <c r="K202" s="69">
        <v>14</v>
      </c>
      <c r="L202" s="66" t="s">
        <v>221</v>
      </c>
      <c r="M202" s="66">
        <v>17</v>
      </c>
      <c r="N202" s="68">
        <v>46155</v>
      </c>
      <c r="O202" s="69">
        <v>14.3</v>
      </c>
    </row>
    <row r="203" spans="1:15" ht="18.600000000000001" customHeight="1" x14ac:dyDescent="0.3">
      <c r="A203" s="66">
        <v>77</v>
      </c>
      <c r="B203" s="67" t="s">
        <v>72</v>
      </c>
      <c r="C203" s="67" t="s">
        <v>246</v>
      </c>
      <c r="D203" s="66" t="s">
        <v>218</v>
      </c>
      <c r="E203" s="52" t="s">
        <v>260</v>
      </c>
      <c r="F203" s="52" t="s">
        <v>185</v>
      </c>
      <c r="G203" s="67"/>
      <c r="H203" s="68"/>
      <c r="I203" s="68">
        <v>46152</v>
      </c>
      <c r="J203" s="68"/>
      <c r="K203" s="69">
        <v>19.3</v>
      </c>
      <c r="L203" s="52" t="s">
        <v>188</v>
      </c>
      <c r="M203" s="66">
        <v>208</v>
      </c>
      <c r="N203" s="68">
        <v>46155</v>
      </c>
      <c r="O203" s="69">
        <v>14.3</v>
      </c>
    </row>
    <row r="204" spans="1:15" ht="18.600000000000001" customHeight="1" x14ac:dyDescent="0.3">
      <c r="A204" s="66">
        <v>78</v>
      </c>
      <c r="B204" s="67" t="s">
        <v>15</v>
      </c>
      <c r="C204" s="67" t="s">
        <v>246</v>
      </c>
      <c r="D204" s="66" t="s">
        <v>218</v>
      </c>
      <c r="E204" s="52" t="s">
        <v>260</v>
      </c>
      <c r="F204" s="52" t="s">
        <v>185</v>
      </c>
      <c r="G204" s="67"/>
      <c r="H204" s="68"/>
      <c r="I204" s="68">
        <v>46152</v>
      </c>
      <c r="J204" s="68"/>
      <c r="K204" s="69">
        <v>19.3</v>
      </c>
      <c r="L204" s="52" t="s">
        <v>188</v>
      </c>
      <c r="M204" s="66">
        <v>208</v>
      </c>
      <c r="N204" s="68">
        <v>46155</v>
      </c>
      <c r="O204" s="69">
        <v>14.3</v>
      </c>
    </row>
    <row r="205" spans="1:15" ht="18.600000000000001" customHeight="1" x14ac:dyDescent="0.3">
      <c r="A205" s="66">
        <v>79</v>
      </c>
      <c r="B205" s="67" t="s">
        <v>155</v>
      </c>
      <c r="C205" s="67" t="s">
        <v>246</v>
      </c>
      <c r="D205" s="66" t="s">
        <v>218</v>
      </c>
      <c r="E205" s="52" t="s">
        <v>260</v>
      </c>
      <c r="F205" s="52" t="s">
        <v>185</v>
      </c>
      <c r="G205" s="67"/>
      <c r="H205" s="68"/>
      <c r="I205" s="68">
        <v>46152</v>
      </c>
      <c r="J205" s="68"/>
      <c r="K205" s="69">
        <v>19.3</v>
      </c>
      <c r="L205" s="52" t="s">
        <v>188</v>
      </c>
      <c r="M205" s="66">
        <v>213</v>
      </c>
      <c r="N205" s="68">
        <v>46155</v>
      </c>
      <c r="O205" s="69">
        <v>14.3</v>
      </c>
    </row>
    <row r="206" spans="1:15" ht="18.600000000000001" customHeight="1" x14ac:dyDescent="0.3">
      <c r="A206" s="66">
        <v>80</v>
      </c>
      <c r="B206" s="67" t="s">
        <v>156</v>
      </c>
      <c r="C206" s="67" t="s">
        <v>246</v>
      </c>
      <c r="D206" s="66" t="s">
        <v>218</v>
      </c>
      <c r="E206" s="52" t="s">
        <v>260</v>
      </c>
      <c r="F206" s="52" t="s">
        <v>185</v>
      </c>
      <c r="G206" s="67"/>
      <c r="H206" s="68"/>
      <c r="I206" s="68">
        <v>46152</v>
      </c>
      <c r="J206" s="68"/>
      <c r="K206" s="69">
        <v>19.3</v>
      </c>
      <c r="L206" s="52" t="s">
        <v>188</v>
      </c>
      <c r="M206" s="66">
        <v>213</v>
      </c>
      <c r="N206" s="68">
        <v>46155</v>
      </c>
      <c r="O206" s="69">
        <v>14.3</v>
      </c>
    </row>
    <row r="207" spans="1:15" ht="18.600000000000001" customHeight="1" x14ac:dyDescent="0.3">
      <c r="A207" s="66">
        <v>81</v>
      </c>
      <c r="B207" s="67" t="s">
        <v>157</v>
      </c>
      <c r="C207" s="67" t="s">
        <v>246</v>
      </c>
      <c r="D207" s="66" t="s">
        <v>218</v>
      </c>
      <c r="E207" s="52" t="s">
        <v>260</v>
      </c>
      <c r="F207" s="52" t="s">
        <v>185</v>
      </c>
      <c r="G207" s="67"/>
      <c r="H207" s="68"/>
      <c r="I207" s="68">
        <v>46152</v>
      </c>
      <c r="J207" s="68"/>
      <c r="K207" s="69">
        <v>19.3</v>
      </c>
      <c r="L207" s="52" t="s">
        <v>188</v>
      </c>
      <c r="M207" s="66">
        <v>213</v>
      </c>
      <c r="N207" s="68">
        <v>46155</v>
      </c>
      <c r="O207" s="69">
        <v>14.3</v>
      </c>
    </row>
    <row r="208" spans="1:15" ht="18.600000000000001" customHeight="1" x14ac:dyDescent="0.3">
      <c r="A208" s="66">
        <v>82</v>
      </c>
      <c r="B208" s="67" t="s">
        <v>158</v>
      </c>
      <c r="C208" s="67" t="s">
        <v>73</v>
      </c>
      <c r="D208" s="66" t="s">
        <v>213</v>
      </c>
      <c r="E208" s="52" t="s">
        <v>262</v>
      </c>
      <c r="F208" s="52" t="s">
        <v>83</v>
      </c>
      <c r="G208" s="67"/>
      <c r="H208" s="68"/>
      <c r="I208" s="68">
        <v>46152</v>
      </c>
      <c r="J208" s="68"/>
      <c r="K208" s="69">
        <v>19.3</v>
      </c>
      <c r="L208" s="52" t="s">
        <v>221</v>
      </c>
      <c r="M208" s="52">
        <v>3</v>
      </c>
      <c r="N208" s="68">
        <v>46155</v>
      </c>
      <c r="O208" s="69">
        <v>14.3</v>
      </c>
    </row>
    <row r="209" spans="1:15" ht="18.600000000000001" customHeight="1" x14ac:dyDescent="0.3">
      <c r="A209" s="66">
        <v>83</v>
      </c>
      <c r="B209" s="67" t="s">
        <v>159</v>
      </c>
      <c r="C209" s="67" t="s">
        <v>73</v>
      </c>
      <c r="D209" s="66" t="s">
        <v>213</v>
      </c>
      <c r="E209" s="52" t="s">
        <v>262</v>
      </c>
      <c r="F209" s="52" t="s">
        <v>83</v>
      </c>
      <c r="G209" s="67"/>
      <c r="H209" s="68"/>
      <c r="I209" s="68">
        <v>46152</v>
      </c>
      <c r="J209" s="68"/>
      <c r="K209" s="69">
        <v>19.3</v>
      </c>
      <c r="L209" s="52" t="s">
        <v>221</v>
      </c>
      <c r="M209" s="52">
        <v>3</v>
      </c>
      <c r="N209" s="68">
        <v>46155</v>
      </c>
      <c r="O209" s="69">
        <v>14.3</v>
      </c>
    </row>
    <row r="210" spans="1:15" ht="18.600000000000001" customHeight="1" x14ac:dyDescent="0.3">
      <c r="A210" s="66">
        <v>84</v>
      </c>
      <c r="B210" s="67" t="s">
        <v>160</v>
      </c>
      <c r="C210" s="67" t="s">
        <v>73</v>
      </c>
      <c r="D210" s="66" t="s">
        <v>213</v>
      </c>
      <c r="E210" s="52" t="s">
        <v>262</v>
      </c>
      <c r="F210" s="52" t="s">
        <v>83</v>
      </c>
      <c r="G210" s="67"/>
      <c r="H210" s="68"/>
      <c r="I210" s="68">
        <v>46152</v>
      </c>
      <c r="J210" s="68"/>
      <c r="K210" s="69">
        <v>19.3</v>
      </c>
      <c r="L210" s="52" t="s">
        <v>221</v>
      </c>
      <c r="M210" s="52">
        <v>3</v>
      </c>
      <c r="N210" s="68">
        <v>46155</v>
      </c>
      <c r="O210" s="69">
        <v>14.3</v>
      </c>
    </row>
    <row r="211" spans="1:15" ht="18.600000000000001" customHeight="1" x14ac:dyDescent="0.3">
      <c r="A211" s="66">
        <v>85</v>
      </c>
      <c r="B211" s="67" t="s">
        <v>161</v>
      </c>
      <c r="C211" s="67" t="s">
        <v>73</v>
      </c>
      <c r="D211" s="66" t="s">
        <v>213</v>
      </c>
      <c r="E211" s="52" t="s">
        <v>262</v>
      </c>
      <c r="F211" s="52" t="s">
        <v>83</v>
      </c>
      <c r="G211" s="67"/>
      <c r="H211" s="68"/>
      <c r="I211" s="68">
        <v>46152</v>
      </c>
      <c r="J211" s="68"/>
      <c r="K211" s="69">
        <v>19.3</v>
      </c>
      <c r="L211" s="52" t="s">
        <v>221</v>
      </c>
      <c r="M211" s="52">
        <v>5</v>
      </c>
      <c r="N211" s="68">
        <v>46155</v>
      </c>
      <c r="O211" s="69">
        <v>14.3</v>
      </c>
    </row>
    <row r="212" spans="1:15" ht="18.600000000000001" customHeight="1" x14ac:dyDescent="0.3">
      <c r="A212" s="66">
        <v>86</v>
      </c>
      <c r="B212" s="67" t="s">
        <v>162</v>
      </c>
      <c r="C212" s="67" t="s">
        <v>73</v>
      </c>
      <c r="D212" s="66" t="s">
        <v>213</v>
      </c>
      <c r="E212" s="52" t="s">
        <v>262</v>
      </c>
      <c r="F212" s="52" t="s">
        <v>83</v>
      </c>
      <c r="G212" s="67"/>
      <c r="H212" s="68"/>
      <c r="I212" s="68">
        <v>46152</v>
      </c>
      <c r="J212" s="68"/>
      <c r="K212" s="69">
        <v>19.3</v>
      </c>
      <c r="L212" s="52" t="s">
        <v>221</v>
      </c>
      <c r="M212" s="52">
        <v>5</v>
      </c>
      <c r="N212" s="68">
        <v>46155</v>
      </c>
      <c r="O212" s="69">
        <v>14.3</v>
      </c>
    </row>
    <row r="213" spans="1:15" ht="18.600000000000001" customHeight="1" x14ac:dyDescent="0.3">
      <c r="A213" s="66">
        <v>87</v>
      </c>
      <c r="B213" s="67" t="s">
        <v>74</v>
      </c>
      <c r="C213" s="67" t="s">
        <v>247</v>
      </c>
      <c r="D213" s="66" t="s">
        <v>139</v>
      </c>
      <c r="E213" s="52" t="s">
        <v>263</v>
      </c>
      <c r="F213" s="52" t="s">
        <v>248</v>
      </c>
      <c r="G213" s="67"/>
      <c r="H213" s="68"/>
      <c r="I213" s="68">
        <v>46152</v>
      </c>
      <c r="J213" s="68"/>
      <c r="K213" s="69">
        <v>17</v>
      </c>
      <c r="L213" s="52" t="s">
        <v>221</v>
      </c>
      <c r="M213" s="52">
        <v>18</v>
      </c>
      <c r="N213" s="68">
        <v>46155</v>
      </c>
      <c r="O213" s="69">
        <v>14.3</v>
      </c>
    </row>
    <row r="214" spans="1:15" ht="18.600000000000001" customHeight="1" x14ac:dyDescent="0.3">
      <c r="A214" s="66">
        <v>88</v>
      </c>
      <c r="B214" s="67" t="s">
        <v>5</v>
      </c>
      <c r="C214" s="67" t="s">
        <v>247</v>
      </c>
      <c r="D214" s="66" t="s">
        <v>139</v>
      </c>
      <c r="E214" s="52" t="s">
        <v>263</v>
      </c>
      <c r="F214" s="52" t="s">
        <v>248</v>
      </c>
      <c r="G214" s="67"/>
      <c r="H214" s="68"/>
      <c r="I214" s="68">
        <v>46152</v>
      </c>
      <c r="J214" s="68"/>
      <c r="K214" s="69">
        <v>17</v>
      </c>
      <c r="L214" s="52" t="s">
        <v>221</v>
      </c>
      <c r="M214" s="52">
        <v>18</v>
      </c>
      <c r="N214" s="68">
        <v>46155</v>
      </c>
      <c r="O214" s="69">
        <v>14.3</v>
      </c>
    </row>
    <row r="215" spans="1:15" ht="18.600000000000001" customHeight="1" x14ac:dyDescent="0.3">
      <c r="A215" s="66">
        <v>89</v>
      </c>
      <c r="B215" s="67" t="s">
        <v>75</v>
      </c>
      <c r="C215" s="67" t="s">
        <v>249</v>
      </c>
      <c r="D215" s="66" t="s">
        <v>218</v>
      </c>
      <c r="E215" s="52" t="s">
        <v>256</v>
      </c>
      <c r="F215" s="52" t="s">
        <v>187</v>
      </c>
      <c r="G215" s="67"/>
      <c r="H215" s="68"/>
      <c r="I215" s="68">
        <v>46152</v>
      </c>
      <c r="J215" s="68"/>
      <c r="K215" s="69">
        <v>17</v>
      </c>
      <c r="L215" s="52" t="s">
        <v>269</v>
      </c>
      <c r="M215" s="52" t="s">
        <v>270</v>
      </c>
      <c r="N215" s="68">
        <v>46155</v>
      </c>
      <c r="O215" s="69">
        <v>14.3</v>
      </c>
    </row>
    <row r="216" spans="1:15" ht="18.600000000000001" customHeight="1" x14ac:dyDescent="0.3">
      <c r="A216" s="66">
        <v>90</v>
      </c>
      <c r="B216" s="67" t="s">
        <v>163</v>
      </c>
      <c r="C216" s="67" t="s">
        <v>249</v>
      </c>
      <c r="D216" s="66" t="s">
        <v>218</v>
      </c>
      <c r="E216" s="52" t="s">
        <v>256</v>
      </c>
      <c r="F216" s="52" t="s">
        <v>187</v>
      </c>
      <c r="G216" s="67"/>
      <c r="H216" s="68"/>
      <c r="I216" s="68">
        <v>46152</v>
      </c>
      <c r="J216" s="68"/>
      <c r="K216" s="69">
        <v>17</v>
      </c>
      <c r="L216" s="52" t="s">
        <v>269</v>
      </c>
      <c r="M216" s="52" t="s">
        <v>270</v>
      </c>
      <c r="N216" s="68">
        <v>46155</v>
      </c>
      <c r="O216" s="69">
        <v>14.3</v>
      </c>
    </row>
    <row r="217" spans="1:15" ht="18.600000000000001" customHeight="1" x14ac:dyDescent="0.3">
      <c r="A217" s="66">
        <v>91</v>
      </c>
      <c r="B217" s="67" t="s">
        <v>76</v>
      </c>
      <c r="C217" s="67" t="s">
        <v>250</v>
      </c>
      <c r="D217" s="66" t="s">
        <v>218</v>
      </c>
      <c r="E217" s="52" t="s">
        <v>252</v>
      </c>
      <c r="F217" s="52" t="s">
        <v>251</v>
      </c>
      <c r="G217" s="67"/>
      <c r="H217" s="68"/>
      <c r="I217" s="68">
        <v>46152</v>
      </c>
      <c r="J217" s="68"/>
      <c r="K217" s="69">
        <v>17</v>
      </c>
      <c r="L217" s="52" t="s">
        <v>188</v>
      </c>
      <c r="M217" s="52">
        <v>211</v>
      </c>
      <c r="N217" s="68">
        <v>46155</v>
      </c>
      <c r="O217" s="69">
        <v>14.3</v>
      </c>
    </row>
    <row r="218" spans="1:15" ht="18.600000000000001" customHeight="1" x14ac:dyDescent="0.3">
      <c r="A218" s="66">
        <v>92</v>
      </c>
      <c r="B218" s="67" t="s">
        <v>0</v>
      </c>
      <c r="C218" s="67" t="s">
        <v>250</v>
      </c>
      <c r="D218" s="66" t="s">
        <v>218</v>
      </c>
      <c r="E218" s="52" t="s">
        <v>252</v>
      </c>
      <c r="F218" s="52" t="s">
        <v>251</v>
      </c>
      <c r="G218" s="67"/>
      <c r="H218" s="68"/>
      <c r="I218" s="68">
        <v>46152</v>
      </c>
      <c r="J218" s="68"/>
      <c r="K218" s="69">
        <v>17</v>
      </c>
      <c r="L218" s="52" t="s">
        <v>188</v>
      </c>
      <c r="M218" s="52">
        <v>211</v>
      </c>
      <c r="N218" s="68">
        <v>46155</v>
      </c>
      <c r="O218" s="69">
        <v>14.3</v>
      </c>
    </row>
    <row r="219" spans="1:15" ht="18.600000000000001" customHeight="1" x14ac:dyDescent="0.3">
      <c r="A219" s="66">
        <v>93</v>
      </c>
      <c r="B219" s="67" t="s">
        <v>164</v>
      </c>
      <c r="C219" s="67" t="s">
        <v>250</v>
      </c>
      <c r="D219" s="66" t="s">
        <v>218</v>
      </c>
      <c r="E219" s="52" t="s">
        <v>252</v>
      </c>
      <c r="F219" s="52" t="s">
        <v>251</v>
      </c>
      <c r="G219" s="67"/>
      <c r="H219" s="68"/>
      <c r="I219" s="68">
        <v>46152</v>
      </c>
      <c r="J219" s="68"/>
      <c r="K219" s="69">
        <v>17</v>
      </c>
      <c r="L219" s="52" t="s">
        <v>188</v>
      </c>
      <c r="M219" s="52">
        <v>211</v>
      </c>
      <c r="N219" s="68">
        <v>46155</v>
      </c>
      <c r="O219" s="69">
        <v>14.3</v>
      </c>
    </row>
    <row r="220" spans="1:15" ht="18.600000000000001" customHeight="1" x14ac:dyDescent="0.3">
      <c r="A220" s="66">
        <v>94</v>
      </c>
      <c r="B220" s="67" t="s">
        <v>31</v>
      </c>
      <c r="C220" s="67" t="s">
        <v>250</v>
      </c>
      <c r="D220" s="66" t="s">
        <v>218</v>
      </c>
      <c r="E220" s="52" t="s">
        <v>252</v>
      </c>
      <c r="F220" s="52" t="s">
        <v>251</v>
      </c>
      <c r="G220" s="67"/>
      <c r="H220" s="68"/>
      <c r="I220" s="68">
        <v>46152</v>
      </c>
      <c r="J220" s="68"/>
      <c r="K220" s="69">
        <v>17</v>
      </c>
      <c r="L220" s="52" t="s">
        <v>188</v>
      </c>
      <c r="M220" s="52">
        <v>212</v>
      </c>
      <c r="N220" s="68">
        <v>46155</v>
      </c>
      <c r="O220" s="69">
        <v>14.3</v>
      </c>
    </row>
    <row r="221" spans="1:15" ht="18.600000000000001" customHeight="1" x14ac:dyDescent="0.3">
      <c r="A221" s="66">
        <v>95</v>
      </c>
      <c r="B221" s="67" t="s">
        <v>77</v>
      </c>
      <c r="C221" s="67" t="s">
        <v>250</v>
      </c>
      <c r="D221" s="66" t="s">
        <v>218</v>
      </c>
      <c r="E221" s="52" t="s">
        <v>252</v>
      </c>
      <c r="F221" s="52" t="s">
        <v>251</v>
      </c>
      <c r="G221" s="67"/>
      <c r="H221" s="68"/>
      <c r="I221" s="68">
        <v>46152</v>
      </c>
      <c r="J221" s="68"/>
      <c r="K221" s="69">
        <v>17</v>
      </c>
      <c r="L221" s="52" t="s">
        <v>188</v>
      </c>
      <c r="M221" s="52">
        <v>212</v>
      </c>
      <c r="N221" s="68">
        <v>46155</v>
      </c>
      <c r="O221" s="69">
        <v>14.3</v>
      </c>
    </row>
    <row r="222" spans="1:15" ht="18.600000000000001" customHeight="1" x14ac:dyDescent="0.3">
      <c r="A222" s="66">
        <v>96</v>
      </c>
      <c r="B222" s="67" t="s">
        <v>39</v>
      </c>
      <c r="C222" s="67" t="s">
        <v>250</v>
      </c>
      <c r="D222" s="66" t="s">
        <v>218</v>
      </c>
      <c r="E222" s="52" t="s">
        <v>252</v>
      </c>
      <c r="F222" s="52" t="s">
        <v>251</v>
      </c>
      <c r="G222" s="67"/>
      <c r="H222" s="68"/>
      <c r="I222" s="68">
        <v>46152</v>
      </c>
      <c r="J222" s="68"/>
      <c r="K222" s="69">
        <v>17</v>
      </c>
      <c r="L222" s="52" t="s">
        <v>188</v>
      </c>
      <c r="M222" s="52">
        <v>212</v>
      </c>
      <c r="N222" s="68">
        <v>46155</v>
      </c>
      <c r="O222" s="69">
        <v>14.3</v>
      </c>
    </row>
    <row r="223" spans="1:15" ht="18.600000000000001" customHeight="1" x14ac:dyDescent="0.3">
      <c r="A223" s="66">
        <v>97</v>
      </c>
      <c r="B223" s="67" t="s">
        <v>254</v>
      </c>
      <c r="C223" s="67" t="s">
        <v>266</v>
      </c>
      <c r="D223" s="66" t="s">
        <v>119</v>
      </c>
      <c r="E223" s="52" t="s">
        <v>240</v>
      </c>
      <c r="F223" s="52" t="s">
        <v>115</v>
      </c>
      <c r="G223" s="67"/>
      <c r="H223" s="68"/>
      <c r="I223" s="68">
        <v>46152</v>
      </c>
      <c r="J223" s="68"/>
      <c r="K223" s="69">
        <v>19.3</v>
      </c>
      <c r="L223" s="52" t="s">
        <v>221</v>
      </c>
      <c r="M223" s="52">
        <v>22</v>
      </c>
      <c r="N223" s="68">
        <v>46155</v>
      </c>
      <c r="O223" s="69">
        <v>14.3</v>
      </c>
    </row>
    <row r="224" spans="1:15" ht="18.600000000000001" customHeight="1" x14ac:dyDescent="0.3">
      <c r="A224" s="66">
        <v>98</v>
      </c>
      <c r="B224" s="67" t="s">
        <v>180</v>
      </c>
      <c r="C224" s="51" t="s">
        <v>192</v>
      </c>
      <c r="D224" s="52" t="s">
        <v>184</v>
      </c>
      <c r="E224" s="52" t="s">
        <v>184</v>
      </c>
      <c r="F224" s="52" t="s">
        <v>185</v>
      </c>
      <c r="G224" s="67"/>
      <c r="H224" s="68"/>
      <c r="I224" s="68"/>
      <c r="J224" s="68">
        <v>46153</v>
      </c>
      <c r="K224" s="69">
        <v>17.3</v>
      </c>
      <c r="L224" s="52" t="s">
        <v>269</v>
      </c>
      <c r="M224" s="52" t="s">
        <v>38</v>
      </c>
      <c r="N224" s="68">
        <v>46155</v>
      </c>
      <c r="O224" s="69">
        <v>14.3</v>
      </c>
    </row>
    <row r="225" spans="1:15" ht="18.600000000000001" customHeight="1" x14ac:dyDescent="0.3">
      <c r="A225" s="66">
        <v>99</v>
      </c>
      <c r="B225" s="67" t="s">
        <v>47</v>
      </c>
      <c r="C225" s="51" t="s">
        <v>266</v>
      </c>
      <c r="D225" s="66" t="s">
        <v>139</v>
      </c>
      <c r="E225" s="52" t="s">
        <v>263</v>
      </c>
      <c r="F225" s="52" t="s">
        <v>220</v>
      </c>
      <c r="G225" s="67"/>
      <c r="H225" s="68"/>
      <c r="I225" s="68"/>
      <c r="J225" s="68">
        <v>46153</v>
      </c>
      <c r="K225" s="69">
        <v>11.3</v>
      </c>
      <c r="L225" s="52" t="s">
        <v>188</v>
      </c>
      <c r="M225" s="66">
        <v>202</v>
      </c>
      <c r="N225" s="68">
        <v>46155</v>
      </c>
      <c r="O225" s="69">
        <v>14.3</v>
      </c>
    </row>
    <row r="226" spans="1:15" ht="18.600000000000001" customHeight="1" x14ac:dyDescent="0.3">
      <c r="A226" s="66">
        <v>100</v>
      </c>
      <c r="B226" s="71" t="s">
        <v>10</v>
      </c>
      <c r="C226" s="55" t="s">
        <v>10</v>
      </c>
      <c r="D226" s="70" t="s">
        <v>139</v>
      </c>
      <c r="E226" s="56" t="s">
        <v>263</v>
      </c>
      <c r="F226" s="56" t="s">
        <v>220</v>
      </c>
      <c r="G226" s="67"/>
      <c r="H226" s="72"/>
      <c r="I226" s="72"/>
      <c r="J226" s="72">
        <v>46153</v>
      </c>
      <c r="K226" s="73">
        <v>11.3</v>
      </c>
      <c r="L226" s="56" t="s">
        <v>221</v>
      </c>
      <c r="M226" s="70">
        <v>2</v>
      </c>
      <c r="N226" s="72">
        <v>46155</v>
      </c>
      <c r="O226" s="73">
        <v>14.3</v>
      </c>
    </row>
    <row r="227" spans="1:15" ht="18.600000000000001" customHeight="1" x14ac:dyDescent="0.3">
      <c r="A227" s="66">
        <v>101</v>
      </c>
      <c r="B227" s="71" t="s">
        <v>50</v>
      </c>
      <c r="C227" s="55" t="s">
        <v>10</v>
      </c>
      <c r="D227" s="70" t="s">
        <v>139</v>
      </c>
      <c r="E227" s="56" t="s">
        <v>263</v>
      </c>
      <c r="F227" s="56" t="s">
        <v>220</v>
      </c>
      <c r="G227" s="67"/>
      <c r="H227" s="72"/>
      <c r="I227" s="72"/>
      <c r="J227" s="72">
        <v>46153</v>
      </c>
      <c r="K227" s="73">
        <v>11.3</v>
      </c>
      <c r="L227" s="56" t="s">
        <v>221</v>
      </c>
      <c r="M227" s="70">
        <v>2</v>
      </c>
      <c r="N227" s="72">
        <v>46155</v>
      </c>
      <c r="O227" s="73">
        <v>14.3</v>
      </c>
    </row>
    <row r="228" spans="1:15" ht="18.600000000000001" customHeight="1" x14ac:dyDescent="0.3">
      <c r="A228" s="66">
        <v>102</v>
      </c>
      <c r="B228" s="67" t="s">
        <v>11</v>
      </c>
      <c r="C228" s="51" t="s">
        <v>11</v>
      </c>
      <c r="D228" s="66" t="s">
        <v>139</v>
      </c>
      <c r="E228" s="52" t="s">
        <v>263</v>
      </c>
      <c r="F228" s="52" t="s">
        <v>225</v>
      </c>
      <c r="G228" s="67"/>
      <c r="H228" s="68"/>
      <c r="I228" s="68"/>
      <c r="J228" s="68">
        <v>46153</v>
      </c>
      <c r="K228" s="69">
        <v>5.3</v>
      </c>
      <c r="L228" s="52" t="s">
        <v>188</v>
      </c>
      <c r="M228" s="66">
        <v>214</v>
      </c>
      <c r="N228" s="68">
        <v>46155</v>
      </c>
      <c r="O228" s="69">
        <v>14.3</v>
      </c>
    </row>
    <row r="229" spans="1:15" ht="18.600000000000001" customHeight="1" x14ac:dyDescent="0.3">
      <c r="A229" s="66">
        <v>103</v>
      </c>
      <c r="B229" s="67" t="s">
        <v>78</v>
      </c>
      <c r="C229" s="51" t="s">
        <v>11</v>
      </c>
      <c r="D229" s="66" t="s">
        <v>139</v>
      </c>
      <c r="E229" s="52" t="s">
        <v>263</v>
      </c>
      <c r="F229" s="52" t="s">
        <v>225</v>
      </c>
      <c r="G229" s="67"/>
      <c r="H229" s="68"/>
      <c r="I229" s="68"/>
      <c r="J229" s="68">
        <v>46153</v>
      </c>
      <c r="K229" s="69">
        <v>5.3</v>
      </c>
      <c r="L229" s="52" t="s">
        <v>188</v>
      </c>
      <c r="M229" s="66">
        <v>214</v>
      </c>
      <c r="N229" s="68">
        <v>46155</v>
      </c>
      <c r="O229" s="69">
        <v>14.3</v>
      </c>
    </row>
    <row r="230" spans="1:15" ht="18.600000000000001" customHeight="1" x14ac:dyDescent="0.3">
      <c r="A230" s="66">
        <v>104</v>
      </c>
      <c r="B230" s="67" t="s">
        <v>152</v>
      </c>
      <c r="C230" s="51" t="s">
        <v>11</v>
      </c>
      <c r="D230" s="66" t="s">
        <v>139</v>
      </c>
      <c r="E230" s="52" t="s">
        <v>263</v>
      </c>
      <c r="F230" s="52" t="s">
        <v>225</v>
      </c>
      <c r="G230" s="67"/>
      <c r="H230" s="68"/>
      <c r="I230" s="68"/>
      <c r="J230" s="68">
        <v>46153</v>
      </c>
      <c r="K230" s="69">
        <v>5.3</v>
      </c>
      <c r="L230" s="52" t="s">
        <v>188</v>
      </c>
      <c r="M230" s="66">
        <v>214</v>
      </c>
      <c r="N230" s="68">
        <v>46155</v>
      </c>
      <c r="O230" s="69">
        <v>14.3</v>
      </c>
    </row>
    <row r="231" spans="1:15" ht="18.600000000000001" customHeight="1" x14ac:dyDescent="0.3">
      <c r="A231" s="66">
        <v>105</v>
      </c>
      <c r="B231" s="67" t="s">
        <v>13</v>
      </c>
      <c r="C231" s="51" t="s">
        <v>107</v>
      </c>
      <c r="D231" s="66" t="s">
        <v>218</v>
      </c>
      <c r="E231" s="52" t="s">
        <v>257</v>
      </c>
      <c r="F231" s="52" t="s">
        <v>228</v>
      </c>
      <c r="G231" s="67"/>
      <c r="H231" s="68"/>
      <c r="I231" s="68"/>
      <c r="J231" s="68">
        <v>46153</v>
      </c>
      <c r="K231" s="69">
        <v>11.3</v>
      </c>
      <c r="L231" s="52" t="s">
        <v>221</v>
      </c>
      <c r="M231" s="66">
        <v>6</v>
      </c>
      <c r="N231" s="68">
        <v>46155</v>
      </c>
      <c r="O231" s="69">
        <v>14.3</v>
      </c>
    </row>
    <row r="232" spans="1:15" ht="18.600000000000001" customHeight="1" x14ac:dyDescent="0.3">
      <c r="A232" s="66">
        <v>106</v>
      </c>
      <c r="B232" s="67" t="s">
        <v>53</v>
      </c>
      <c r="C232" s="51" t="s">
        <v>107</v>
      </c>
      <c r="D232" s="66" t="s">
        <v>218</v>
      </c>
      <c r="E232" s="52" t="s">
        <v>257</v>
      </c>
      <c r="F232" s="52" t="s">
        <v>228</v>
      </c>
      <c r="G232" s="67"/>
      <c r="H232" s="68"/>
      <c r="I232" s="68"/>
      <c r="J232" s="68">
        <v>46153</v>
      </c>
      <c r="K232" s="69">
        <v>11.3</v>
      </c>
      <c r="L232" s="52" t="s">
        <v>221</v>
      </c>
      <c r="M232" s="66">
        <v>6</v>
      </c>
      <c r="N232" s="68">
        <v>46155</v>
      </c>
      <c r="O232" s="69">
        <v>14.3</v>
      </c>
    </row>
    <row r="233" spans="1:15" ht="18.600000000000001" customHeight="1" x14ac:dyDescent="0.3">
      <c r="A233" s="66">
        <v>107</v>
      </c>
      <c r="B233" s="67" t="s">
        <v>30</v>
      </c>
      <c r="C233" s="67" t="s">
        <v>80</v>
      </c>
      <c r="D233" s="66" t="s">
        <v>218</v>
      </c>
      <c r="E233" s="52" t="s">
        <v>258</v>
      </c>
      <c r="F233" s="52" t="s">
        <v>228</v>
      </c>
      <c r="G233" s="67"/>
      <c r="H233" s="68"/>
      <c r="I233" s="68"/>
      <c r="J233" s="68">
        <v>46153</v>
      </c>
      <c r="K233" s="69">
        <v>11.3</v>
      </c>
      <c r="L233" s="52" t="s">
        <v>221</v>
      </c>
      <c r="M233" s="66">
        <v>7</v>
      </c>
      <c r="N233" s="68">
        <v>46155</v>
      </c>
      <c r="O233" s="69">
        <v>14.3</v>
      </c>
    </row>
    <row r="234" spans="1:15" ht="18.600000000000001" customHeight="1" x14ac:dyDescent="0.3">
      <c r="A234" s="66">
        <v>108</v>
      </c>
      <c r="B234" s="67" t="s">
        <v>211</v>
      </c>
      <c r="C234" s="67" t="s">
        <v>80</v>
      </c>
      <c r="D234" s="66" t="s">
        <v>218</v>
      </c>
      <c r="E234" s="52" t="s">
        <v>258</v>
      </c>
      <c r="F234" s="52" t="s">
        <v>228</v>
      </c>
      <c r="G234" s="67"/>
      <c r="H234" s="68"/>
      <c r="I234" s="68"/>
      <c r="J234" s="68">
        <v>46153</v>
      </c>
      <c r="K234" s="69">
        <v>11.3</v>
      </c>
      <c r="L234" s="52" t="s">
        <v>221</v>
      </c>
      <c r="M234" s="66">
        <v>7</v>
      </c>
      <c r="N234" s="68">
        <v>46155</v>
      </c>
      <c r="O234" s="69">
        <v>14.3</v>
      </c>
    </row>
    <row r="235" spans="1:15" ht="18.600000000000001" customHeight="1" x14ac:dyDescent="0.3">
      <c r="A235" s="66">
        <v>109</v>
      </c>
      <c r="B235" s="67" t="s">
        <v>58</v>
      </c>
      <c r="C235" s="67" t="s">
        <v>168</v>
      </c>
      <c r="D235" s="66" t="s">
        <v>139</v>
      </c>
      <c r="E235" s="52" t="s">
        <v>228</v>
      </c>
      <c r="F235" s="52" t="s">
        <v>216</v>
      </c>
      <c r="G235" s="67"/>
      <c r="H235" s="68"/>
      <c r="I235" s="68"/>
      <c r="J235" s="68">
        <v>46153</v>
      </c>
      <c r="K235" s="69">
        <v>11.3</v>
      </c>
      <c r="L235" s="52" t="s">
        <v>221</v>
      </c>
      <c r="M235" s="66">
        <v>8</v>
      </c>
      <c r="N235" s="68">
        <v>46155</v>
      </c>
      <c r="O235" s="69">
        <v>14.3</v>
      </c>
    </row>
    <row r="236" spans="1:15" ht="18.600000000000001" customHeight="1" x14ac:dyDescent="0.3">
      <c r="A236" s="66">
        <v>110</v>
      </c>
      <c r="B236" s="67" t="s">
        <v>168</v>
      </c>
      <c r="C236" s="67" t="s">
        <v>168</v>
      </c>
      <c r="D236" s="66" t="s">
        <v>139</v>
      </c>
      <c r="E236" s="52" t="s">
        <v>228</v>
      </c>
      <c r="F236" s="52" t="s">
        <v>216</v>
      </c>
      <c r="G236" s="67"/>
      <c r="H236" s="68"/>
      <c r="I236" s="68"/>
      <c r="J236" s="68">
        <v>46153</v>
      </c>
      <c r="K236" s="69">
        <v>11.3</v>
      </c>
      <c r="L236" s="52" t="s">
        <v>221</v>
      </c>
      <c r="M236" s="66">
        <v>8</v>
      </c>
      <c r="N236" s="68">
        <v>46155</v>
      </c>
      <c r="O236" s="69">
        <v>14.3</v>
      </c>
    </row>
    <row r="237" spans="1:15" ht="18.600000000000001" customHeight="1" x14ac:dyDescent="0.3">
      <c r="A237" s="66">
        <v>111</v>
      </c>
      <c r="B237" s="67" t="s">
        <v>59</v>
      </c>
      <c r="C237" s="67" t="s">
        <v>231</v>
      </c>
      <c r="D237" s="66" t="s">
        <v>218</v>
      </c>
      <c r="E237" s="52" t="s">
        <v>261</v>
      </c>
      <c r="F237" s="52" t="s">
        <v>187</v>
      </c>
      <c r="G237" s="67"/>
      <c r="H237" s="68"/>
      <c r="I237" s="68"/>
      <c r="J237" s="68">
        <v>46153</v>
      </c>
      <c r="K237" s="69">
        <v>11.3</v>
      </c>
      <c r="L237" s="52" t="s">
        <v>221</v>
      </c>
      <c r="M237" s="66">
        <v>9</v>
      </c>
      <c r="N237" s="68">
        <v>46154</v>
      </c>
      <c r="O237" s="69">
        <v>18.3</v>
      </c>
    </row>
    <row r="238" spans="1:15" ht="18.600000000000001" customHeight="1" x14ac:dyDescent="0.3">
      <c r="A238" s="66">
        <v>112</v>
      </c>
      <c r="B238" s="67" t="s">
        <v>265</v>
      </c>
      <c r="C238" s="67" t="s">
        <v>231</v>
      </c>
      <c r="D238" s="66" t="s">
        <v>218</v>
      </c>
      <c r="E238" s="52" t="s">
        <v>261</v>
      </c>
      <c r="F238" s="52" t="s">
        <v>187</v>
      </c>
      <c r="G238" s="67"/>
      <c r="H238" s="68"/>
      <c r="I238" s="68"/>
      <c r="J238" s="68">
        <v>46153</v>
      </c>
      <c r="K238" s="69">
        <v>11.3</v>
      </c>
      <c r="L238" s="52" t="s">
        <v>221</v>
      </c>
      <c r="M238" s="66">
        <v>9</v>
      </c>
      <c r="N238" s="68">
        <v>46154</v>
      </c>
      <c r="O238" s="69">
        <v>18.3</v>
      </c>
    </row>
    <row r="239" spans="1:15" ht="18.600000000000001" customHeight="1" x14ac:dyDescent="0.3">
      <c r="A239" s="66">
        <v>113</v>
      </c>
      <c r="B239" s="67" t="s">
        <v>267</v>
      </c>
      <c r="C239" s="67" t="s">
        <v>266</v>
      </c>
      <c r="D239" s="66" t="s">
        <v>218</v>
      </c>
      <c r="E239" s="52" t="s">
        <v>261</v>
      </c>
      <c r="F239" s="52" t="s">
        <v>187</v>
      </c>
      <c r="G239" s="67"/>
      <c r="H239" s="68"/>
      <c r="I239" s="68"/>
      <c r="J239" s="68">
        <v>46153</v>
      </c>
      <c r="K239" s="69">
        <v>11.3</v>
      </c>
      <c r="L239" s="52" t="s">
        <v>221</v>
      </c>
      <c r="M239" s="66">
        <v>10</v>
      </c>
      <c r="N239" s="68">
        <v>46154</v>
      </c>
      <c r="O239" s="69">
        <v>18.3</v>
      </c>
    </row>
    <row r="240" spans="1:15" ht="18.600000000000001" customHeight="1" x14ac:dyDescent="0.3">
      <c r="A240" s="66">
        <v>114</v>
      </c>
      <c r="B240" s="67" t="s">
        <v>60</v>
      </c>
      <c r="C240" s="67" t="s">
        <v>232</v>
      </c>
      <c r="D240" s="66" t="s">
        <v>233</v>
      </c>
      <c r="E240" s="66" t="s">
        <v>233</v>
      </c>
      <c r="F240" s="52" t="s">
        <v>228</v>
      </c>
      <c r="G240" s="67"/>
      <c r="H240" s="68"/>
      <c r="I240" s="68"/>
      <c r="J240" s="68">
        <v>46153</v>
      </c>
      <c r="K240" s="69">
        <v>17.3</v>
      </c>
      <c r="L240" s="52" t="s">
        <v>221</v>
      </c>
      <c r="M240" s="66">
        <v>11</v>
      </c>
      <c r="N240" s="68">
        <v>46155</v>
      </c>
      <c r="O240" s="69">
        <v>14.3</v>
      </c>
    </row>
    <row r="241" spans="1:15" ht="18.600000000000001" customHeight="1" x14ac:dyDescent="0.3">
      <c r="A241" s="66">
        <v>115</v>
      </c>
      <c r="B241" s="67" t="s">
        <v>61</v>
      </c>
      <c r="C241" s="67" t="s">
        <v>232</v>
      </c>
      <c r="D241" s="66" t="s">
        <v>233</v>
      </c>
      <c r="E241" s="66" t="s">
        <v>233</v>
      </c>
      <c r="F241" s="52" t="s">
        <v>228</v>
      </c>
      <c r="G241" s="67"/>
      <c r="H241" s="68"/>
      <c r="I241" s="68"/>
      <c r="J241" s="68">
        <v>46153</v>
      </c>
      <c r="K241" s="69">
        <v>17.3</v>
      </c>
      <c r="L241" s="52" t="s">
        <v>221</v>
      </c>
      <c r="M241" s="66">
        <v>11</v>
      </c>
      <c r="N241" s="68">
        <v>46155</v>
      </c>
      <c r="O241" s="69">
        <v>14.3</v>
      </c>
    </row>
    <row r="242" spans="1:15" ht="18.600000000000001" customHeight="1" x14ac:dyDescent="0.3">
      <c r="A242" s="66">
        <v>116</v>
      </c>
      <c r="B242" s="67" t="s">
        <v>18</v>
      </c>
      <c r="C242" s="67" t="s">
        <v>17</v>
      </c>
      <c r="D242" s="66" t="s">
        <v>213</v>
      </c>
      <c r="E242" s="52" t="s">
        <v>228</v>
      </c>
      <c r="F242" s="52" t="s">
        <v>234</v>
      </c>
      <c r="G242" s="67"/>
      <c r="H242" s="68"/>
      <c r="I242" s="68"/>
      <c r="J242" s="68">
        <v>46153</v>
      </c>
      <c r="K242" s="69">
        <v>15.3</v>
      </c>
      <c r="L242" s="52" t="s">
        <v>221</v>
      </c>
      <c r="M242" s="66">
        <v>20</v>
      </c>
      <c r="N242" s="68">
        <v>46155</v>
      </c>
      <c r="O242" s="69">
        <v>14.3</v>
      </c>
    </row>
    <row r="243" spans="1:15" ht="18.600000000000001" customHeight="1" x14ac:dyDescent="0.3">
      <c r="A243" s="66">
        <v>117</v>
      </c>
      <c r="B243" s="67" t="s">
        <v>17</v>
      </c>
      <c r="C243" s="67" t="s">
        <v>17</v>
      </c>
      <c r="D243" s="66" t="s">
        <v>213</v>
      </c>
      <c r="E243" s="52" t="s">
        <v>228</v>
      </c>
      <c r="F243" s="52" t="s">
        <v>234</v>
      </c>
      <c r="G243" s="67"/>
      <c r="H243" s="68"/>
      <c r="I243" s="68"/>
      <c r="J243" s="68">
        <v>46153</v>
      </c>
      <c r="K243" s="69">
        <v>15.3</v>
      </c>
      <c r="L243" s="52" t="s">
        <v>221</v>
      </c>
      <c r="M243" s="66">
        <v>20</v>
      </c>
      <c r="N243" s="68">
        <v>46155</v>
      </c>
      <c r="O243" s="69">
        <v>14.3</v>
      </c>
    </row>
    <row r="244" spans="1:15" ht="18.600000000000001" customHeight="1" x14ac:dyDescent="0.3">
      <c r="A244" s="66">
        <v>118</v>
      </c>
      <c r="B244" s="67" t="s">
        <v>29</v>
      </c>
      <c r="C244" s="67" t="s">
        <v>235</v>
      </c>
      <c r="D244" s="66" t="s">
        <v>218</v>
      </c>
      <c r="E244" s="52" t="s">
        <v>257</v>
      </c>
      <c r="F244" s="52" t="s">
        <v>228</v>
      </c>
      <c r="G244" s="67"/>
      <c r="H244" s="68"/>
      <c r="I244" s="68"/>
      <c r="J244" s="68">
        <v>46153</v>
      </c>
      <c r="K244" s="69">
        <v>11.3</v>
      </c>
      <c r="L244" s="52" t="s">
        <v>221</v>
      </c>
      <c r="M244" s="66">
        <v>12</v>
      </c>
      <c r="N244" s="68">
        <v>46155</v>
      </c>
      <c r="O244" s="69">
        <v>14.3</v>
      </c>
    </row>
    <row r="245" spans="1:15" ht="18.600000000000001" customHeight="1" x14ac:dyDescent="0.3">
      <c r="A245" s="66">
        <v>119</v>
      </c>
      <c r="B245" s="67" t="s">
        <v>63</v>
      </c>
      <c r="C245" s="67" t="s">
        <v>235</v>
      </c>
      <c r="D245" s="66" t="s">
        <v>218</v>
      </c>
      <c r="E245" s="52" t="s">
        <v>257</v>
      </c>
      <c r="F245" s="52" t="s">
        <v>228</v>
      </c>
      <c r="G245" s="67"/>
      <c r="H245" s="68"/>
      <c r="I245" s="68"/>
      <c r="J245" s="68">
        <v>46153</v>
      </c>
      <c r="K245" s="69">
        <v>11.3</v>
      </c>
      <c r="L245" s="52" t="s">
        <v>221</v>
      </c>
      <c r="M245" s="66">
        <v>12</v>
      </c>
      <c r="N245" s="68">
        <v>46155</v>
      </c>
      <c r="O245" s="69">
        <v>14.3</v>
      </c>
    </row>
    <row r="246" spans="1:15" ht="18.600000000000001" customHeight="1" x14ac:dyDescent="0.3">
      <c r="A246" s="66">
        <v>120</v>
      </c>
      <c r="B246" s="67" t="s">
        <v>165</v>
      </c>
      <c r="C246" s="67" t="s">
        <v>253</v>
      </c>
      <c r="D246" s="66" t="s">
        <v>139</v>
      </c>
      <c r="E246" s="66" t="s">
        <v>228</v>
      </c>
      <c r="F246" s="66" t="s">
        <v>115</v>
      </c>
      <c r="G246" s="67"/>
      <c r="H246" s="68"/>
      <c r="I246" s="68"/>
      <c r="J246" s="68">
        <v>46153</v>
      </c>
      <c r="K246" s="69">
        <v>9.3000000000000007</v>
      </c>
      <c r="L246" s="52" t="s">
        <v>221</v>
      </c>
      <c r="M246" s="66">
        <v>19</v>
      </c>
      <c r="N246" s="68">
        <v>46154</v>
      </c>
      <c r="O246" s="69">
        <v>23.3</v>
      </c>
    </row>
    <row r="247" spans="1:15" ht="18.600000000000001" customHeight="1" x14ac:dyDescent="0.3">
      <c r="A247" s="66">
        <v>121</v>
      </c>
      <c r="B247" s="67" t="s">
        <v>166</v>
      </c>
      <c r="C247" s="67" t="s">
        <v>253</v>
      </c>
      <c r="D247" s="66" t="s">
        <v>139</v>
      </c>
      <c r="E247" s="66" t="s">
        <v>228</v>
      </c>
      <c r="F247" s="66" t="s">
        <v>115</v>
      </c>
      <c r="G247" s="67"/>
      <c r="H247" s="68"/>
      <c r="I247" s="68"/>
      <c r="J247" s="68">
        <v>46153</v>
      </c>
      <c r="K247" s="69">
        <v>9.3000000000000007</v>
      </c>
      <c r="L247" s="52" t="s">
        <v>221</v>
      </c>
      <c r="M247" s="66">
        <v>19</v>
      </c>
      <c r="N247" s="68">
        <v>46154</v>
      </c>
      <c r="O247" s="69">
        <v>23.3</v>
      </c>
    </row>
    <row r="248" spans="1:15" ht="18.600000000000001" customHeight="1" x14ac:dyDescent="0.3">
      <c r="A248" s="67"/>
      <c r="B248" s="67"/>
      <c r="C248" s="67"/>
      <c r="D248" s="66"/>
      <c r="E248" s="66"/>
      <c r="F248" s="66"/>
      <c r="G248" s="67"/>
      <c r="H248" s="67"/>
      <c r="I248" s="67"/>
      <c r="J248" s="67"/>
      <c r="K248" s="66"/>
      <c r="L248" s="66"/>
      <c r="M248" s="66"/>
      <c r="N248" s="67"/>
      <c r="O248" s="66"/>
    </row>
    <row r="249" spans="1:15" ht="18.600000000000001" customHeight="1" x14ac:dyDescent="0.3"/>
    <row r="250" spans="1:15" ht="18.600000000000001" customHeight="1" x14ac:dyDescent="0.3"/>
  </sheetData>
  <autoFilter ref="A126:AH247" xr:uid="{0AC07F0E-6E3D-4BC9-A447-F628F64C6BF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BA2C-06E5-4026-BE2A-660FD30008DE}">
  <sheetPr>
    <tabColor rgb="FFFF0000"/>
  </sheetPr>
  <dimension ref="A2:AK38"/>
  <sheetViews>
    <sheetView tabSelected="1" topLeftCell="A5" zoomScaleNormal="100" workbookViewId="0">
      <selection activeCell="C20" sqref="C20"/>
    </sheetView>
  </sheetViews>
  <sheetFormatPr defaultColWidth="8.77734375" defaultRowHeight="14.4" x14ac:dyDescent="0.3"/>
  <cols>
    <col min="1" max="1" width="5.44140625" style="2" customWidth="1"/>
    <col min="2" max="2" width="19.5546875" style="2" customWidth="1"/>
    <col min="3" max="3" width="19.88671875" style="2" bestFit="1" customWidth="1"/>
    <col min="4" max="4" width="15.44140625" style="2" bestFit="1" customWidth="1"/>
    <col min="5" max="5" width="15.44140625" style="1" customWidth="1"/>
    <col min="6" max="6" width="12.5546875" style="1" hidden="1" customWidth="1"/>
    <col min="7" max="7" width="15.6640625" style="1" bestFit="1" customWidth="1"/>
    <col min="8" max="8" width="12.44140625" style="1" bestFit="1" customWidth="1"/>
    <col min="9" max="9" width="10.44140625" style="1" customWidth="1"/>
    <col min="10" max="12" width="11.6640625" style="1" customWidth="1"/>
    <col min="13" max="13" width="4.21875" style="2" customWidth="1"/>
    <col min="14" max="14" width="8.77734375" style="1"/>
    <col min="15" max="15" width="9.88671875" style="1" customWidth="1"/>
    <col min="16" max="16" width="8.77734375" style="1"/>
    <col min="17" max="17" width="10.44140625" style="2" bestFit="1" customWidth="1"/>
    <col min="18" max="18" width="8.77734375" style="1"/>
    <col min="19" max="16384" width="8.77734375" style="2"/>
  </cols>
  <sheetData>
    <row r="2" spans="1:37" ht="41.55" customHeight="1" x14ac:dyDescent="0.3">
      <c r="A2" s="26" t="s">
        <v>255</v>
      </c>
      <c r="B2" s="41" t="s">
        <v>169</v>
      </c>
      <c r="C2" s="41" t="s">
        <v>169</v>
      </c>
      <c r="D2" s="41" t="s">
        <v>169</v>
      </c>
      <c r="E2" s="83" t="s">
        <v>289</v>
      </c>
      <c r="F2" s="26" t="s">
        <v>170</v>
      </c>
      <c r="G2" s="26" t="s">
        <v>171</v>
      </c>
      <c r="H2" s="26" t="s">
        <v>175</v>
      </c>
      <c r="I2" s="26" t="s">
        <v>174</v>
      </c>
      <c r="J2" s="26" t="s">
        <v>172</v>
      </c>
      <c r="K2" s="26" t="s">
        <v>172</v>
      </c>
      <c r="L2" s="26" t="s">
        <v>172</v>
      </c>
      <c r="M2" s="26" t="s">
        <v>288</v>
      </c>
      <c r="N2" s="26" t="s">
        <v>173</v>
      </c>
      <c r="O2" s="26" t="s">
        <v>176</v>
      </c>
      <c r="P2" s="26" t="s">
        <v>177</v>
      </c>
      <c r="Q2" s="26" t="s">
        <v>178</v>
      </c>
      <c r="R2" s="26" t="s">
        <v>179</v>
      </c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 spans="1:37" s="126" customFormat="1" ht="18" customHeight="1" x14ac:dyDescent="0.3">
      <c r="A3" s="120">
        <v>1</v>
      </c>
      <c r="B3" s="121" t="s">
        <v>48</v>
      </c>
      <c r="C3" s="121" t="s">
        <v>8</v>
      </c>
      <c r="D3" s="121"/>
      <c r="E3" s="120">
        <v>9828118918</v>
      </c>
      <c r="F3" s="120" t="s">
        <v>274</v>
      </c>
      <c r="G3" s="120" t="s">
        <v>122</v>
      </c>
      <c r="H3" s="122" t="s">
        <v>217</v>
      </c>
      <c r="I3" s="122" t="s">
        <v>187</v>
      </c>
      <c r="J3" s="123">
        <v>46152</v>
      </c>
      <c r="K3" s="123">
        <v>46153</v>
      </c>
      <c r="L3" s="123">
        <v>46154</v>
      </c>
      <c r="M3" s="120">
        <v>2</v>
      </c>
      <c r="N3" s="124">
        <v>19.3</v>
      </c>
      <c r="O3" s="122" t="s">
        <v>221</v>
      </c>
      <c r="P3" s="122">
        <v>201</v>
      </c>
      <c r="Q3" s="125">
        <v>46155</v>
      </c>
      <c r="R3" s="124">
        <v>14.3</v>
      </c>
    </row>
    <row r="4" spans="1:37" s="126" customFormat="1" ht="18" customHeight="1" x14ac:dyDescent="0.3">
      <c r="A4" s="120">
        <f>A3+1</f>
        <v>2</v>
      </c>
      <c r="B4" s="121" t="s">
        <v>158</v>
      </c>
      <c r="C4" s="121" t="s">
        <v>159</v>
      </c>
      <c r="D4" s="121" t="s">
        <v>160</v>
      </c>
      <c r="E4" s="120"/>
      <c r="F4" s="120" t="s">
        <v>73</v>
      </c>
      <c r="G4" s="120" t="s">
        <v>213</v>
      </c>
      <c r="H4" s="122" t="s">
        <v>262</v>
      </c>
      <c r="I4" s="122" t="s">
        <v>83</v>
      </c>
      <c r="J4" s="123">
        <v>46152</v>
      </c>
      <c r="K4" s="123">
        <v>46153</v>
      </c>
      <c r="L4" s="123">
        <v>46154</v>
      </c>
      <c r="M4" s="120">
        <v>3</v>
      </c>
      <c r="N4" s="124">
        <v>19.3</v>
      </c>
      <c r="O4" s="122" t="s">
        <v>221</v>
      </c>
      <c r="P4" s="122">
        <v>103</v>
      </c>
      <c r="Q4" s="125">
        <v>46155</v>
      </c>
      <c r="R4" s="124">
        <v>14.3</v>
      </c>
    </row>
    <row r="5" spans="1:37" s="126" customFormat="1" ht="18" customHeight="1" x14ac:dyDescent="0.3">
      <c r="A5" s="120">
        <v>3</v>
      </c>
      <c r="B5" s="121" t="s">
        <v>28</v>
      </c>
      <c r="C5" s="121" t="s">
        <v>9</v>
      </c>
      <c r="D5" s="121"/>
      <c r="E5" s="120">
        <v>9462969796</v>
      </c>
      <c r="F5" s="122" t="s">
        <v>28</v>
      </c>
      <c r="G5" s="120" t="s">
        <v>122</v>
      </c>
      <c r="H5" s="122" t="s">
        <v>217</v>
      </c>
      <c r="I5" s="122" t="s">
        <v>187</v>
      </c>
      <c r="J5" s="123">
        <v>46152</v>
      </c>
      <c r="K5" s="123">
        <v>46153</v>
      </c>
      <c r="L5" s="123">
        <v>46154</v>
      </c>
      <c r="M5" s="120">
        <v>2</v>
      </c>
      <c r="N5" s="124">
        <v>19.3</v>
      </c>
      <c r="O5" s="122" t="s">
        <v>221</v>
      </c>
      <c r="P5" s="122">
        <v>203</v>
      </c>
      <c r="Q5" s="125">
        <v>46155</v>
      </c>
      <c r="R5" s="124">
        <v>14.3</v>
      </c>
    </row>
    <row r="6" spans="1:37" s="126" customFormat="1" ht="18" customHeight="1" x14ac:dyDescent="0.3">
      <c r="A6" s="120">
        <f t="shared" ref="A6:A22" si="0">A5+1</f>
        <v>4</v>
      </c>
      <c r="B6" s="121" t="s">
        <v>161</v>
      </c>
      <c r="C6" s="121" t="s">
        <v>162</v>
      </c>
      <c r="D6" s="121"/>
      <c r="E6" s="120"/>
      <c r="F6" s="120" t="s">
        <v>73</v>
      </c>
      <c r="G6" s="120" t="s">
        <v>213</v>
      </c>
      <c r="H6" s="122" t="s">
        <v>262</v>
      </c>
      <c r="I6" s="122" t="s">
        <v>83</v>
      </c>
      <c r="J6" s="123">
        <v>46152</v>
      </c>
      <c r="K6" s="123">
        <v>46153</v>
      </c>
      <c r="L6" s="123">
        <v>46154</v>
      </c>
      <c r="M6" s="120">
        <v>2</v>
      </c>
      <c r="N6" s="124">
        <v>19.3</v>
      </c>
      <c r="O6" s="122" t="s">
        <v>221</v>
      </c>
      <c r="P6" s="122">
        <v>104</v>
      </c>
      <c r="Q6" s="125">
        <v>46155</v>
      </c>
      <c r="R6" s="124">
        <v>14.3</v>
      </c>
    </row>
    <row r="7" spans="1:37" s="126" customFormat="1" ht="18" customHeight="1" x14ac:dyDescent="0.3">
      <c r="A7" s="120">
        <f t="shared" si="0"/>
        <v>5</v>
      </c>
      <c r="B7" s="121" t="s">
        <v>16</v>
      </c>
      <c r="C7" s="121" t="s">
        <v>65</v>
      </c>
      <c r="D7" s="121"/>
      <c r="E7" s="120">
        <v>9819593359</v>
      </c>
      <c r="F7" s="120" t="s">
        <v>236</v>
      </c>
      <c r="G7" s="120" t="s">
        <v>139</v>
      </c>
      <c r="H7" s="122" t="s">
        <v>263</v>
      </c>
      <c r="I7" s="122" t="s">
        <v>237</v>
      </c>
      <c r="J7" s="123">
        <v>46152</v>
      </c>
      <c r="K7" s="123">
        <v>46153</v>
      </c>
      <c r="L7" s="123">
        <v>46154</v>
      </c>
      <c r="M7" s="120">
        <v>2</v>
      </c>
      <c r="N7" s="124">
        <v>9.3000000000000007</v>
      </c>
      <c r="O7" s="122" t="s">
        <v>221</v>
      </c>
      <c r="P7" s="122">
        <v>204</v>
      </c>
      <c r="Q7" s="125">
        <v>46155</v>
      </c>
      <c r="R7" s="124">
        <v>14.3</v>
      </c>
    </row>
    <row r="8" spans="1:37" s="126" customFormat="1" ht="18" customHeight="1" x14ac:dyDescent="0.3">
      <c r="A8" s="120">
        <f t="shared" si="0"/>
        <v>6</v>
      </c>
      <c r="B8" s="121" t="s">
        <v>27</v>
      </c>
      <c r="C8" s="121" t="s">
        <v>66</v>
      </c>
      <c r="D8" s="121"/>
      <c r="E8" s="120">
        <v>9001899951</v>
      </c>
      <c r="F8" s="120" t="s">
        <v>238</v>
      </c>
      <c r="G8" s="120" t="s">
        <v>122</v>
      </c>
      <c r="H8" s="122" t="s">
        <v>217</v>
      </c>
      <c r="I8" s="122" t="s">
        <v>187</v>
      </c>
      <c r="J8" s="123">
        <v>46152</v>
      </c>
      <c r="K8" s="123">
        <v>46153</v>
      </c>
      <c r="L8" s="123">
        <v>46154</v>
      </c>
      <c r="M8" s="120">
        <v>2</v>
      </c>
      <c r="N8" s="124">
        <v>19.3</v>
      </c>
      <c r="O8" s="122" t="s">
        <v>221</v>
      </c>
      <c r="P8" s="122">
        <v>211</v>
      </c>
      <c r="Q8" s="125">
        <v>46155</v>
      </c>
      <c r="R8" s="124">
        <v>14.3</v>
      </c>
    </row>
    <row r="9" spans="1:37" s="126" customFormat="1" ht="18" customHeight="1" x14ac:dyDescent="0.3">
      <c r="A9" s="120">
        <f t="shared" si="0"/>
        <v>7</v>
      </c>
      <c r="B9" s="121" t="s">
        <v>70</v>
      </c>
      <c r="C9" s="121" t="s">
        <v>243</v>
      </c>
      <c r="D9" s="121" t="s">
        <v>268</v>
      </c>
      <c r="E9" s="120">
        <v>9869052715</v>
      </c>
      <c r="F9" s="120" t="s">
        <v>242</v>
      </c>
      <c r="G9" s="120" t="s">
        <v>213</v>
      </c>
      <c r="H9" s="122" t="s">
        <v>262</v>
      </c>
      <c r="I9" s="122" t="s">
        <v>237</v>
      </c>
      <c r="J9" s="123">
        <v>46152</v>
      </c>
      <c r="K9" s="123">
        <v>46153</v>
      </c>
      <c r="L9" s="123">
        <v>46154</v>
      </c>
      <c r="M9" s="120">
        <v>2</v>
      </c>
      <c r="N9" s="124">
        <v>14</v>
      </c>
      <c r="O9" s="120" t="s">
        <v>221</v>
      </c>
      <c r="P9" s="120">
        <v>303</v>
      </c>
      <c r="Q9" s="125">
        <v>46155</v>
      </c>
      <c r="R9" s="124">
        <v>14.3</v>
      </c>
    </row>
    <row r="10" spans="1:37" s="126" customFormat="1" ht="18" customHeight="1" x14ac:dyDescent="0.3">
      <c r="A10" s="120">
        <f t="shared" si="0"/>
        <v>8</v>
      </c>
      <c r="B10" s="121" t="s">
        <v>71</v>
      </c>
      <c r="C10" s="121" t="s">
        <v>244</v>
      </c>
      <c r="D10" s="121"/>
      <c r="E10" s="120">
        <v>9819899390</v>
      </c>
      <c r="F10" s="120" t="s">
        <v>245</v>
      </c>
      <c r="G10" s="120" t="s">
        <v>122</v>
      </c>
      <c r="H10" s="122" t="s">
        <v>229</v>
      </c>
      <c r="I10" s="122" t="s">
        <v>187</v>
      </c>
      <c r="J10" s="123">
        <v>46152</v>
      </c>
      <c r="K10" s="123">
        <v>46153</v>
      </c>
      <c r="L10" s="123">
        <v>46154</v>
      </c>
      <c r="M10" s="120">
        <v>3</v>
      </c>
      <c r="N10" s="124">
        <v>19.3</v>
      </c>
      <c r="O10" s="122" t="s">
        <v>221</v>
      </c>
      <c r="P10" s="122">
        <v>304</v>
      </c>
      <c r="Q10" s="125">
        <v>46155</v>
      </c>
      <c r="R10" s="124">
        <v>14.3</v>
      </c>
    </row>
    <row r="11" spans="1:37" s="126" customFormat="1" ht="18" customHeight="1" x14ac:dyDescent="0.3">
      <c r="A11" s="120">
        <f t="shared" si="0"/>
        <v>9</v>
      </c>
      <c r="B11" s="121" t="s">
        <v>74</v>
      </c>
      <c r="C11" s="121" t="s">
        <v>254</v>
      </c>
      <c r="D11" s="121"/>
      <c r="E11" s="120">
        <v>9827984393</v>
      </c>
      <c r="F11" s="120" t="s">
        <v>247</v>
      </c>
      <c r="G11" s="120" t="s">
        <v>139</v>
      </c>
      <c r="H11" s="122" t="s">
        <v>263</v>
      </c>
      <c r="I11" s="122" t="s">
        <v>248</v>
      </c>
      <c r="J11" s="123">
        <v>46152</v>
      </c>
      <c r="K11" s="123">
        <v>46153</v>
      </c>
      <c r="L11" s="123">
        <v>46154</v>
      </c>
      <c r="M11" s="120">
        <v>2</v>
      </c>
      <c r="N11" s="124">
        <v>17</v>
      </c>
      <c r="O11" s="122" t="s">
        <v>221</v>
      </c>
      <c r="P11" s="122">
        <v>412</v>
      </c>
      <c r="Q11" s="125">
        <v>46155</v>
      </c>
      <c r="R11" s="124">
        <v>14.3</v>
      </c>
    </row>
    <row r="12" spans="1:37" s="126" customFormat="1" ht="18" customHeight="1" x14ac:dyDescent="0.3">
      <c r="A12" s="120">
        <f t="shared" si="0"/>
        <v>10</v>
      </c>
      <c r="B12" s="121" t="s">
        <v>239</v>
      </c>
      <c r="C12" s="121" t="s">
        <v>272</v>
      </c>
      <c r="D12" s="121" t="s">
        <v>111</v>
      </c>
      <c r="E12" s="120">
        <v>9476050285</v>
      </c>
      <c r="F12" s="120" t="s">
        <v>239</v>
      </c>
      <c r="G12" s="120" t="s">
        <v>119</v>
      </c>
      <c r="H12" s="122" t="s">
        <v>240</v>
      </c>
      <c r="I12" s="122" t="s">
        <v>115</v>
      </c>
      <c r="J12" s="123">
        <v>46152</v>
      </c>
      <c r="K12" s="123">
        <v>46153</v>
      </c>
      <c r="L12" s="123">
        <v>46154</v>
      </c>
      <c r="M12" s="120">
        <v>3</v>
      </c>
      <c r="N12" s="124">
        <v>19.3</v>
      </c>
      <c r="O12" s="122" t="s">
        <v>221</v>
      </c>
      <c r="P12" s="122">
        <v>212</v>
      </c>
      <c r="Q12" s="125">
        <v>46155</v>
      </c>
      <c r="R12" s="124">
        <v>14.3</v>
      </c>
    </row>
    <row r="13" spans="1:37" s="126" customFormat="1" ht="18" customHeight="1" x14ac:dyDescent="0.3">
      <c r="A13" s="120">
        <f t="shared" si="0"/>
        <v>11</v>
      </c>
      <c r="B13" s="121" t="s">
        <v>49</v>
      </c>
      <c r="C13" s="121" t="s">
        <v>271</v>
      </c>
      <c r="D13" s="121"/>
      <c r="E13" s="120">
        <v>9414369796</v>
      </c>
      <c r="F13" s="122" t="s">
        <v>28</v>
      </c>
      <c r="G13" s="120" t="s">
        <v>122</v>
      </c>
      <c r="H13" s="122" t="s">
        <v>217</v>
      </c>
      <c r="I13" s="122" t="s">
        <v>187</v>
      </c>
      <c r="J13" s="123">
        <v>46152</v>
      </c>
      <c r="K13" s="123">
        <v>46153</v>
      </c>
      <c r="L13" s="123">
        <v>46154</v>
      </c>
      <c r="M13" s="120">
        <v>2</v>
      </c>
      <c r="N13" s="124">
        <v>19.3</v>
      </c>
      <c r="O13" s="122" t="s">
        <v>221</v>
      </c>
      <c r="P13" s="122">
        <v>107</v>
      </c>
      <c r="Q13" s="125">
        <v>46155</v>
      </c>
      <c r="R13" s="124">
        <v>14.3</v>
      </c>
    </row>
    <row r="14" spans="1:37" s="80" customFormat="1" ht="18" customHeight="1" x14ac:dyDescent="0.3">
      <c r="A14" s="74">
        <f t="shared" si="0"/>
        <v>12</v>
      </c>
      <c r="B14" s="75" t="s">
        <v>10</v>
      </c>
      <c r="C14" s="75" t="s">
        <v>50</v>
      </c>
      <c r="D14" s="75"/>
      <c r="E14" s="74">
        <v>7622001889</v>
      </c>
      <c r="F14" s="76" t="s">
        <v>10</v>
      </c>
      <c r="G14" s="74" t="s">
        <v>139</v>
      </c>
      <c r="H14" s="76" t="s">
        <v>263</v>
      </c>
      <c r="I14" s="76" t="s">
        <v>220</v>
      </c>
      <c r="J14" s="74"/>
      <c r="K14" s="77"/>
      <c r="L14" s="77">
        <v>46154</v>
      </c>
      <c r="M14" s="74">
        <v>2</v>
      </c>
      <c r="N14" s="78">
        <v>11.3</v>
      </c>
      <c r="O14" s="76" t="s">
        <v>221</v>
      </c>
      <c r="P14" s="74">
        <v>301</v>
      </c>
      <c r="Q14" s="79">
        <v>46155</v>
      </c>
      <c r="R14" s="78">
        <v>14.3</v>
      </c>
    </row>
    <row r="15" spans="1:37" s="126" customFormat="1" ht="18" customHeight="1" x14ac:dyDescent="0.3">
      <c r="A15" s="120">
        <f t="shared" si="0"/>
        <v>13</v>
      </c>
      <c r="B15" s="121" t="s">
        <v>13</v>
      </c>
      <c r="C15" s="121" t="s">
        <v>53</v>
      </c>
      <c r="D15" s="127"/>
      <c r="E15" s="122">
        <v>9929181111</v>
      </c>
      <c r="F15" s="122" t="s">
        <v>107</v>
      </c>
      <c r="G15" s="120" t="s">
        <v>218</v>
      </c>
      <c r="H15" s="122" t="s">
        <v>257</v>
      </c>
      <c r="I15" s="122" t="s">
        <v>228</v>
      </c>
      <c r="J15" s="120"/>
      <c r="K15" s="123">
        <v>46153</v>
      </c>
      <c r="L15" s="123">
        <v>46154</v>
      </c>
      <c r="M15" s="120">
        <v>2</v>
      </c>
      <c r="N15" s="124">
        <v>11.3</v>
      </c>
      <c r="O15" s="122" t="s">
        <v>221</v>
      </c>
      <c r="P15" s="120">
        <v>311</v>
      </c>
      <c r="Q15" s="125">
        <v>46155</v>
      </c>
      <c r="R15" s="124">
        <v>14.3</v>
      </c>
    </row>
    <row r="16" spans="1:37" s="126" customFormat="1" ht="18" customHeight="1" x14ac:dyDescent="0.3">
      <c r="A16" s="120">
        <f t="shared" si="0"/>
        <v>14</v>
      </c>
      <c r="B16" s="121" t="s">
        <v>30</v>
      </c>
      <c r="C16" s="121" t="s">
        <v>211</v>
      </c>
      <c r="D16" s="121"/>
      <c r="E16" s="120">
        <v>9711859888</v>
      </c>
      <c r="F16" s="120" t="s">
        <v>80</v>
      </c>
      <c r="G16" s="120" t="s">
        <v>218</v>
      </c>
      <c r="H16" s="122" t="s">
        <v>258</v>
      </c>
      <c r="I16" s="122" t="s">
        <v>228</v>
      </c>
      <c r="J16" s="120"/>
      <c r="K16" s="123">
        <v>46153</v>
      </c>
      <c r="L16" s="123">
        <v>46154</v>
      </c>
      <c r="M16" s="120">
        <v>2</v>
      </c>
      <c r="N16" s="124">
        <v>11.3</v>
      </c>
      <c r="O16" s="122" t="s">
        <v>221</v>
      </c>
      <c r="P16" s="120">
        <v>312</v>
      </c>
      <c r="Q16" s="125">
        <v>46155</v>
      </c>
      <c r="R16" s="124">
        <v>14.3</v>
      </c>
    </row>
    <row r="17" spans="1:18" s="126" customFormat="1" ht="18" customHeight="1" x14ac:dyDescent="0.3">
      <c r="A17" s="120">
        <f t="shared" si="0"/>
        <v>15</v>
      </c>
      <c r="B17" s="121" t="s">
        <v>168</v>
      </c>
      <c r="C17" s="121"/>
      <c r="D17" s="121"/>
      <c r="E17" s="120">
        <v>9649395177</v>
      </c>
      <c r="F17" s="120" t="s">
        <v>168</v>
      </c>
      <c r="G17" s="120" t="s">
        <v>139</v>
      </c>
      <c r="H17" s="122" t="s">
        <v>228</v>
      </c>
      <c r="I17" s="122" t="s">
        <v>216</v>
      </c>
      <c r="J17" s="120"/>
      <c r="K17" s="123">
        <v>46153</v>
      </c>
      <c r="L17" s="123">
        <v>46154</v>
      </c>
      <c r="M17" s="120">
        <v>2</v>
      </c>
      <c r="N17" s="124">
        <v>11.3</v>
      </c>
      <c r="O17" s="122" t="s">
        <v>221</v>
      </c>
      <c r="P17" s="120">
        <v>106</v>
      </c>
      <c r="Q17" s="125">
        <v>46155</v>
      </c>
      <c r="R17" s="124">
        <v>14.3</v>
      </c>
    </row>
    <row r="18" spans="1:18" s="126" customFormat="1" ht="18" customHeight="1" x14ac:dyDescent="0.3">
      <c r="A18" s="120">
        <f t="shared" si="0"/>
        <v>16</v>
      </c>
      <c r="B18" s="121" t="s">
        <v>59</v>
      </c>
      <c r="C18" s="121" t="s">
        <v>265</v>
      </c>
      <c r="D18" s="121"/>
      <c r="E18" s="120"/>
      <c r="F18" s="120" t="s">
        <v>231</v>
      </c>
      <c r="G18" s="120" t="s">
        <v>218</v>
      </c>
      <c r="H18" s="122" t="s">
        <v>261</v>
      </c>
      <c r="I18" s="122" t="s">
        <v>187</v>
      </c>
      <c r="J18" s="120"/>
      <c r="K18" s="123">
        <v>46153</v>
      </c>
      <c r="L18" s="123">
        <v>46154</v>
      </c>
      <c r="M18" s="120">
        <v>2</v>
      </c>
      <c r="N18" s="124">
        <v>11.3</v>
      </c>
      <c r="O18" s="122" t="s">
        <v>221</v>
      </c>
      <c r="P18" s="120">
        <v>401</v>
      </c>
      <c r="Q18" s="125">
        <v>46154</v>
      </c>
      <c r="R18" s="124">
        <v>18.3</v>
      </c>
    </row>
    <row r="19" spans="1:18" s="80" customFormat="1" ht="18" customHeight="1" x14ac:dyDescent="0.3">
      <c r="A19" s="74">
        <f t="shared" si="0"/>
        <v>17</v>
      </c>
      <c r="B19" s="75" t="s">
        <v>267</v>
      </c>
      <c r="C19" s="75"/>
      <c r="D19" s="75"/>
      <c r="E19" s="74"/>
      <c r="F19" s="74" t="s">
        <v>231</v>
      </c>
      <c r="G19" s="74" t="s">
        <v>218</v>
      </c>
      <c r="H19" s="76" t="s">
        <v>261</v>
      </c>
      <c r="I19" s="76" t="s">
        <v>187</v>
      </c>
      <c r="J19" s="74"/>
      <c r="K19" s="77">
        <v>46153</v>
      </c>
      <c r="L19" s="77">
        <v>46154</v>
      </c>
      <c r="M19" s="74">
        <v>1</v>
      </c>
      <c r="N19" s="78">
        <v>11.3</v>
      </c>
      <c r="O19" s="76" t="s">
        <v>221</v>
      </c>
      <c r="P19" s="74">
        <v>403</v>
      </c>
      <c r="Q19" s="79">
        <v>46154</v>
      </c>
      <c r="R19" s="78">
        <v>18.3</v>
      </c>
    </row>
    <row r="20" spans="1:18" s="126" customFormat="1" ht="18" customHeight="1" x14ac:dyDescent="0.3">
      <c r="A20" s="120">
        <f t="shared" si="0"/>
        <v>18</v>
      </c>
      <c r="B20" s="121" t="s">
        <v>60</v>
      </c>
      <c r="C20" s="121" t="s">
        <v>61</v>
      </c>
      <c r="D20" s="121"/>
      <c r="E20" s="120">
        <v>7428852074</v>
      </c>
      <c r="F20" s="120" t="s">
        <v>232</v>
      </c>
      <c r="G20" s="120" t="s">
        <v>233</v>
      </c>
      <c r="H20" s="120" t="s">
        <v>233</v>
      </c>
      <c r="I20" s="122" t="s">
        <v>228</v>
      </c>
      <c r="J20" s="120"/>
      <c r="K20" s="123">
        <v>46153</v>
      </c>
      <c r="L20" s="123">
        <v>46154</v>
      </c>
      <c r="M20" s="120">
        <v>2</v>
      </c>
      <c r="N20" s="124">
        <v>17.3</v>
      </c>
      <c r="O20" s="122" t="s">
        <v>221</v>
      </c>
      <c r="P20" s="120">
        <v>404</v>
      </c>
      <c r="Q20" s="125">
        <v>46155</v>
      </c>
      <c r="R20" s="124">
        <v>14.3</v>
      </c>
    </row>
    <row r="21" spans="1:18" s="126" customFormat="1" ht="18" customHeight="1" x14ac:dyDescent="0.3">
      <c r="A21" s="120">
        <f t="shared" si="0"/>
        <v>19</v>
      </c>
      <c r="B21" s="121" t="s">
        <v>29</v>
      </c>
      <c r="C21" s="121" t="s">
        <v>63</v>
      </c>
      <c r="D21" s="121"/>
      <c r="E21" s="120">
        <v>9599051014</v>
      </c>
      <c r="F21" s="120" t="s">
        <v>235</v>
      </c>
      <c r="G21" s="120" t="s">
        <v>218</v>
      </c>
      <c r="H21" s="122" t="s">
        <v>257</v>
      </c>
      <c r="I21" s="122" t="s">
        <v>228</v>
      </c>
      <c r="J21" s="120"/>
      <c r="K21" s="123">
        <v>46153</v>
      </c>
      <c r="L21" s="123">
        <v>46154</v>
      </c>
      <c r="M21" s="120">
        <v>2</v>
      </c>
      <c r="N21" s="124">
        <v>11.3</v>
      </c>
      <c r="O21" s="122" t="s">
        <v>221</v>
      </c>
      <c r="P21" s="120">
        <v>411</v>
      </c>
      <c r="Q21" s="125">
        <v>46155</v>
      </c>
      <c r="R21" s="124">
        <v>14.3</v>
      </c>
    </row>
    <row r="22" spans="1:18" s="126" customFormat="1" ht="18" customHeight="1" x14ac:dyDescent="0.3">
      <c r="A22" s="120">
        <f t="shared" si="0"/>
        <v>20</v>
      </c>
      <c r="B22" s="121" t="s">
        <v>165</v>
      </c>
      <c r="C22" s="121" t="s">
        <v>166</v>
      </c>
      <c r="D22" s="121"/>
      <c r="E22" s="120">
        <v>6353458835</v>
      </c>
      <c r="F22" s="120" t="s">
        <v>253</v>
      </c>
      <c r="G22" s="120" t="s">
        <v>139</v>
      </c>
      <c r="H22" s="120" t="s">
        <v>228</v>
      </c>
      <c r="I22" s="120" t="s">
        <v>115</v>
      </c>
      <c r="J22" s="120"/>
      <c r="K22" s="123">
        <v>46153</v>
      </c>
      <c r="L22" s="123">
        <v>46154</v>
      </c>
      <c r="M22" s="120">
        <v>2</v>
      </c>
      <c r="N22" s="124">
        <v>9.3000000000000007</v>
      </c>
      <c r="O22" s="122" t="s">
        <v>221</v>
      </c>
      <c r="P22" s="120">
        <v>105</v>
      </c>
      <c r="Q22" s="125">
        <v>46154</v>
      </c>
      <c r="R22" s="124">
        <v>23.3</v>
      </c>
    </row>
    <row r="23" spans="1:18" ht="18" customHeight="1" x14ac:dyDescent="0.3">
      <c r="A23" s="67"/>
      <c r="B23" s="67"/>
      <c r="C23" s="67"/>
      <c r="D23" s="67"/>
      <c r="E23" s="66"/>
      <c r="F23" s="66"/>
      <c r="G23" s="66"/>
      <c r="H23" s="66"/>
      <c r="I23" s="66"/>
      <c r="J23" s="81">
        <v>11</v>
      </c>
      <c r="K23" s="81">
        <v>20</v>
      </c>
      <c r="L23" s="81">
        <v>20</v>
      </c>
      <c r="M23" s="67"/>
      <c r="N23" s="66"/>
      <c r="O23" s="66"/>
      <c r="P23" s="66"/>
      <c r="Q23" s="67"/>
      <c r="R23" s="66"/>
    </row>
    <row r="24" spans="1:18" ht="18" customHeight="1" x14ac:dyDescent="0.3"/>
    <row r="25" spans="1:18" ht="18" customHeight="1" x14ac:dyDescent="0.3"/>
    <row r="26" spans="1:18" ht="18" customHeight="1" x14ac:dyDescent="0.3"/>
    <row r="27" spans="1:18" ht="18" customHeight="1" x14ac:dyDescent="0.3"/>
    <row r="28" spans="1:18" ht="18" customHeight="1" x14ac:dyDescent="0.3"/>
    <row r="29" spans="1:18" ht="18" customHeight="1" x14ac:dyDescent="0.3"/>
    <row r="30" spans="1:18" ht="18" customHeight="1" x14ac:dyDescent="0.3"/>
    <row r="31" spans="1:18" ht="18" customHeight="1" x14ac:dyDescent="0.3"/>
    <row r="32" spans="1:18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7D0C-3CF6-4B89-B6BE-B99BFE4FF211}">
  <sheetPr>
    <tabColor rgb="FF002060"/>
  </sheetPr>
  <dimension ref="A2:T30"/>
  <sheetViews>
    <sheetView topLeftCell="A12" zoomScaleNormal="100" workbookViewId="0">
      <selection activeCell="B30" sqref="B30"/>
    </sheetView>
  </sheetViews>
  <sheetFormatPr defaultColWidth="8.77734375" defaultRowHeight="14.4" x14ac:dyDescent="0.3"/>
  <cols>
    <col min="1" max="1" width="4.109375" style="2" customWidth="1"/>
    <col min="2" max="2" width="16.44140625" style="2" bestFit="1" customWidth="1"/>
    <col min="3" max="3" width="15.33203125" style="2" bestFit="1" customWidth="1"/>
    <col min="4" max="4" width="13.33203125" style="2" bestFit="1" customWidth="1"/>
    <col min="5" max="6" width="13.33203125" style="1" customWidth="1"/>
    <col min="7" max="7" width="15.6640625" style="1" bestFit="1" customWidth="1"/>
    <col min="8" max="8" width="12.44140625" style="1" bestFit="1" customWidth="1"/>
    <col min="9" max="9" width="10.44140625" style="1" customWidth="1"/>
    <col min="10" max="14" width="11.6640625" style="1" customWidth="1"/>
    <col min="15" max="15" width="5.88671875" style="1" customWidth="1"/>
    <col min="16" max="16" width="8.77734375" style="1"/>
    <col min="17" max="17" width="9.88671875" style="1" customWidth="1"/>
    <col min="18" max="18" width="8.77734375" style="1"/>
    <col min="19" max="19" width="10.44140625" style="2" bestFit="1" customWidth="1"/>
    <col min="20" max="20" width="8.77734375" style="1"/>
    <col min="21" max="16384" width="8.77734375" style="2"/>
  </cols>
  <sheetData>
    <row r="2" spans="1:20" ht="43.2" x14ac:dyDescent="0.3">
      <c r="A2" s="26" t="s">
        <v>255</v>
      </c>
      <c r="B2" s="25" t="s">
        <v>169</v>
      </c>
      <c r="C2" s="25" t="s">
        <v>170</v>
      </c>
      <c r="D2" s="25"/>
      <c r="E2" s="26" t="s">
        <v>289</v>
      </c>
      <c r="F2" s="26"/>
      <c r="G2" s="26" t="s">
        <v>171</v>
      </c>
      <c r="H2" s="26" t="s">
        <v>175</v>
      </c>
      <c r="I2" s="26" t="s">
        <v>174</v>
      </c>
      <c r="J2" s="26" t="s">
        <v>172</v>
      </c>
      <c r="K2" s="26" t="s">
        <v>172</v>
      </c>
      <c r="L2" s="26" t="s">
        <v>172</v>
      </c>
      <c r="M2" s="26" t="s">
        <v>172</v>
      </c>
      <c r="N2" s="26" t="s">
        <v>172</v>
      </c>
      <c r="O2" s="26" t="s">
        <v>288</v>
      </c>
      <c r="P2" s="26" t="s">
        <v>173</v>
      </c>
      <c r="Q2" s="26" t="s">
        <v>176</v>
      </c>
      <c r="R2" s="26" t="s">
        <v>177</v>
      </c>
      <c r="S2" s="26" t="s">
        <v>178</v>
      </c>
      <c r="T2" s="26" t="s">
        <v>179</v>
      </c>
    </row>
    <row r="3" spans="1:20" s="126" customFormat="1" ht="19.8" customHeight="1" x14ac:dyDescent="0.3">
      <c r="A3" s="120">
        <v>1</v>
      </c>
      <c r="B3" s="121" t="s">
        <v>285</v>
      </c>
      <c r="C3" s="121" t="s">
        <v>39</v>
      </c>
      <c r="D3" s="121"/>
      <c r="E3" s="120">
        <v>7340310941</v>
      </c>
      <c r="F3" s="120"/>
      <c r="G3" s="120" t="s">
        <v>122</v>
      </c>
      <c r="H3" s="122" t="s">
        <v>186</v>
      </c>
      <c r="I3" s="122" t="s">
        <v>115</v>
      </c>
      <c r="J3" s="123"/>
      <c r="K3" s="123">
        <v>46151</v>
      </c>
      <c r="L3" s="123">
        <v>46152</v>
      </c>
      <c r="M3" s="120"/>
      <c r="N3" s="120"/>
      <c r="O3" s="120">
        <v>2</v>
      </c>
      <c r="P3" s="124">
        <v>19.3</v>
      </c>
      <c r="Q3" s="122" t="s">
        <v>188</v>
      </c>
      <c r="R3" s="120">
        <v>209</v>
      </c>
      <c r="S3" s="125">
        <v>46153</v>
      </c>
      <c r="T3" s="124">
        <v>14.3</v>
      </c>
    </row>
    <row r="4" spans="1:20" s="126" customFormat="1" ht="19.8" customHeight="1" x14ac:dyDescent="0.3">
      <c r="A4" s="120">
        <v>2</v>
      </c>
      <c r="B4" s="121" t="s">
        <v>284</v>
      </c>
      <c r="C4" s="121" t="s">
        <v>286</v>
      </c>
      <c r="D4" s="121"/>
      <c r="E4" s="120">
        <v>9460186954</v>
      </c>
      <c r="F4" s="120"/>
      <c r="G4" s="120" t="s">
        <v>122</v>
      </c>
      <c r="H4" s="122" t="s">
        <v>217</v>
      </c>
      <c r="I4" s="122" t="s">
        <v>187</v>
      </c>
      <c r="J4" s="123"/>
      <c r="K4" s="123"/>
      <c r="L4" s="123">
        <v>46152</v>
      </c>
      <c r="M4" s="120"/>
      <c r="N4" s="120"/>
      <c r="O4" s="120">
        <v>2</v>
      </c>
      <c r="P4" s="124">
        <v>19.3</v>
      </c>
      <c r="Q4" s="122" t="s">
        <v>188</v>
      </c>
      <c r="R4" s="120">
        <v>214</v>
      </c>
      <c r="S4" s="125">
        <v>46153</v>
      </c>
      <c r="T4" s="124">
        <v>14.3</v>
      </c>
    </row>
    <row r="5" spans="1:20" s="126" customFormat="1" ht="19.8" customHeight="1" x14ac:dyDescent="0.3">
      <c r="A5" s="120">
        <v>3</v>
      </c>
      <c r="B5" s="121" t="s">
        <v>189</v>
      </c>
      <c r="C5" s="121" t="s">
        <v>134</v>
      </c>
      <c r="D5" s="121" t="s">
        <v>275</v>
      </c>
      <c r="E5" s="120">
        <v>9994310384</v>
      </c>
      <c r="F5" s="120"/>
      <c r="G5" s="120" t="s">
        <v>122</v>
      </c>
      <c r="H5" s="122" t="s">
        <v>212</v>
      </c>
      <c r="I5" s="122" t="s">
        <v>115</v>
      </c>
      <c r="J5" s="121"/>
      <c r="K5" s="121"/>
      <c r="L5" s="123">
        <v>46152</v>
      </c>
      <c r="M5" s="123">
        <v>46153</v>
      </c>
      <c r="N5" s="120" t="s">
        <v>287</v>
      </c>
      <c r="O5" s="120">
        <v>4</v>
      </c>
      <c r="P5" s="124">
        <v>19.3</v>
      </c>
      <c r="Q5" s="122" t="s">
        <v>188</v>
      </c>
      <c r="R5" s="120">
        <v>104</v>
      </c>
      <c r="S5" s="125">
        <v>46155</v>
      </c>
      <c r="T5" s="124">
        <v>14.3</v>
      </c>
    </row>
    <row r="6" spans="1:20" s="126" customFormat="1" ht="19.8" customHeight="1" x14ac:dyDescent="0.3">
      <c r="A6" s="120">
        <v>4</v>
      </c>
      <c r="B6" s="121" t="s">
        <v>98</v>
      </c>
      <c r="C6" s="127" t="s">
        <v>41</v>
      </c>
      <c r="D6" s="127"/>
      <c r="E6" s="122">
        <v>9351729878</v>
      </c>
      <c r="F6" s="122"/>
      <c r="G6" s="120" t="s">
        <v>122</v>
      </c>
      <c r="H6" s="122" t="s">
        <v>212</v>
      </c>
      <c r="I6" s="122" t="s">
        <v>115</v>
      </c>
      <c r="J6" s="121"/>
      <c r="K6" s="121"/>
      <c r="L6" s="123">
        <v>46152</v>
      </c>
      <c r="M6" s="123">
        <v>46153</v>
      </c>
      <c r="N6" s="120" t="s">
        <v>287</v>
      </c>
      <c r="O6" s="120">
        <v>2</v>
      </c>
      <c r="P6" s="124">
        <v>19.3</v>
      </c>
      <c r="Q6" s="122" t="s">
        <v>188</v>
      </c>
      <c r="R6" s="120">
        <v>105</v>
      </c>
      <c r="S6" s="125">
        <v>46155</v>
      </c>
      <c r="T6" s="124">
        <v>14.3</v>
      </c>
    </row>
    <row r="7" spans="1:20" s="126" customFormat="1" ht="19.8" customHeight="1" x14ac:dyDescent="0.3">
      <c r="A7" s="120">
        <v>5</v>
      </c>
      <c r="B7" s="121" t="s">
        <v>42</v>
      </c>
      <c r="C7" s="121" t="s">
        <v>34</v>
      </c>
      <c r="D7" s="121" t="s">
        <v>35</v>
      </c>
      <c r="E7" s="120">
        <v>9952430715</v>
      </c>
      <c r="F7" s="120"/>
      <c r="G7" s="120" t="s">
        <v>213</v>
      </c>
      <c r="H7" s="122" t="s">
        <v>262</v>
      </c>
      <c r="I7" s="122" t="s">
        <v>83</v>
      </c>
      <c r="J7" s="123">
        <v>46150</v>
      </c>
      <c r="K7" s="123">
        <v>46151</v>
      </c>
      <c r="L7" s="123">
        <v>46152</v>
      </c>
      <c r="M7" s="123">
        <v>46153</v>
      </c>
      <c r="N7" s="120" t="s">
        <v>287</v>
      </c>
      <c r="O7" s="120">
        <v>3</v>
      </c>
      <c r="P7" s="124">
        <v>17.3</v>
      </c>
      <c r="Q7" s="122" t="s">
        <v>188</v>
      </c>
      <c r="R7" s="120">
        <v>106</v>
      </c>
      <c r="S7" s="125">
        <v>46155</v>
      </c>
      <c r="T7" s="124">
        <v>14.3</v>
      </c>
    </row>
    <row r="8" spans="1:20" s="126" customFormat="1" ht="19.8" customHeight="1" x14ac:dyDescent="0.3">
      <c r="A8" s="120">
        <v>6</v>
      </c>
      <c r="B8" s="121" t="s">
        <v>43</v>
      </c>
      <c r="C8" s="121" t="s">
        <v>44</v>
      </c>
      <c r="D8" s="127" t="s">
        <v>276</v>
      </c>
      <c r="E8" s="122">
        <v>9314212580</v>
      </c>
      <c r="F8" s="122"/>
      <c r="G8" s="120" t="s">
        <v>122</v>
      </c>
      <c r="H8" s="122" t="s">
        <v>212</v>
      </c>
      <c r="I8" s="122" t="s">
        <v>115</v>
      </c>
      <c r="J8" s="121"/>
      <c r="K8" s="121"/>
      <c r="L8" s="123">
        <v>46152</v>
      </c>
      <c r="M8" s="123">
        <v>46153</v>
      </c>
      <c r="N8" s="120" t="s">
        <v>287</v>
      </c>
      <c r="O8" s="120">
        <v>4</v>
      </c>
      <c r="P8" s="124">
        <v>19.3</v>
      </c>
      <c r="Q8" s="122" t="s">
        <v>188</v>
      </c>
      <c r="R8" s="120">
        <v>107</v>
      </c>
      <c r="S8" s="125">
        <v>46155</v>
      </c>
      <c r="T8" s="124">
        <v>14.3</v>
      </c>
    </row>
    <row r="9" spans="1:20" s="126" customFormat="1" ht="19.8" customHeight="1" x14ac:dyDescent="0.3">
      <c r="A9" s="120">
        <v>7</v>
      </c>
      <c r="B9" s="121" t="s">
        <v>3</v>
      </c>
      <c r="C9" s="121" t="s">
        <v>4</v>
      </c>
      <c r="D9" s="127" t="s">
        <v>277</v>
      </c>
      <c r="E9" s="122">
        <v>8072464078</v>
      </c>
      <c r="F9" s="122"/>
      <c r="G9" s="120" t="s">
        <v>139</v>
      </c>
      <c r="H9" s="122" t="s">
        <v>212</v>
      </c>
      <c r="I9" s="122" t="s">
        <v>190</v>
      </c>
      <c r="J9" s="121"/>
      <c r="K9" s="121"/>
      <c r="L9" s="123">
        <v>46152</v>
      </c>
      <c r="M9" s="123">
        <v>46153</v>
      </c>
      <c r="N9" s="120" t="s">
        <v>287</v>
      </c>
      <c r="O9" s="120">
        <v>4</v>
      </c>
      <c r="P9" s="124">
        <v>11.3</v>
      </c>
      <c r="Q9" s="122" t="s">
        <v>188</v>
      </c>
      <c r="R9" s="120">
        <v>108</v>
      </c>
      <c r="S9" s="125">
        <v>46155</v>
      </c>
      <c r="T9" s="124">
        <v>14.3</v>
      </c>
    </row>
    <row r="10" spans="1:20" s="126" customFormat="1" ht="19.8" customHeight="1" x14ac:dyDescent="0.3">
      <c r="A10" s="120">
        <v>8</v>
      </c>
      <c r="B10" s="121" t="s">
        <v>22</v>
      </c>
      <c r="C10" s="121" t="s">
        <v>23</v>
      </c>
      <c r="D10" s="121" t="s">
        <v>278</v>
      </c>
      <c r="E10" s="120">
        <v>9831520509</v>
      </c>
      <c r="F10" s="120"/>
      <c r="G10" s="120" t="s">
        <v>139</v>
      </c>
      <c r="H10" s="122" t="s">
        <v>264</v>
      </c>
      <c r="I10" s="122" t="s">
        <v>216</v>
      </c>
      <c r="J10" s="121"/>
      <c r="K10" s="121"/>
      <c r="L10" s="123">
        <v>46152</v>
      </c>
      <c r="M10" s="123">
        <v>46153</v>
      </c>
      <c r="N10" s="120" t="s">
        <v>287</v>
      </c>
      <c r="O10" s="120">
        <v>4</v>
      </c>
      <c r="P10" s="124">
        <v>19.3</v>
      </c>
      <c r="Q10" s="122" t="s">
        <v>188</v>
      </c>
      <c r="R10" s="120">
        <v>109</v>
      </c>
      <c r="S10" s="125">
        <v>46155</v>
      </c>
      <c r="T10" s="124">
        <v>14.3</v>
      </c>
    </row>
    <row r="11" spans="1:20" s="126" customFormat="1" ht="19.8" customHeight="1" x14ac:dyDescent="0.3">
      <c r="A11" s="120">
        <v>10</v>
      </c>
      <c r="B11" s="121" t="s">
        <v>46</v>
      </c>
      <c r="C11" s="121" t="s">
        <v>6</v>
      </c>
      <c r="D11" s="121" t="s">
        <v>279</v>
      </c>
      <c r="E11" s="120">
        <v>9983340058</v>
      </c>
      <c r="F11" s="120"/>
      <c r="G11" s="120" t="s">
        <v>122</v>
      </c>
      <c r="H11" s="122" t="s">
        <v>217</v>
      </c>
      <c r="I11" s="122" t="s">
        <v>187</v>
      </c>
      <c r="J11" s="121"/>
      <c r="K11" s="121"/>
      <c r="L11" s="123">
        <v>46152</v>
      </c>
      <c r="M11" s="123">
        <v>46153</v>
      </c>
      <c r="N11" s="120" t="s">
        <v>287</v>
      </c>
      <c r="O11" s="120">
        <v>4</v>
      </c>
      <c r="P11" s="124">
        <v>19.3</v>
      </c>
      <c r="Q11" s="122" t="s">
        <v>188</v>
      </c>
      <c r="R11" s="120">
        <v>111</v>
      </c>
      <c r="S11" s="125">
        <v>46155</v>
      </c>
      <c r="T11" s="124">
        <v>14.3</v>
      </c>
    </row>
    <row r="12" spans="1:20" s="126" customFormat="1" ht="19.8" customHeight="1" x14ac:dyDescent="0.3">
      <c r="A12" s="120">
        <v>11</v>
      </c>
      <c r="B12" s="121" t="s">
        <v>20</v>
      </c>
      <c r="C12" s="121" t="s">
        <v>21</v>
      </c>
      <c r="D12" s="121" t="s">
        <v>280</v>
      </c>
      <c r="E12" s="120">
        <v>9828130058</v>
      </c>
      <c r="F12" s="120"/>
      <c r="G12" s="120" t="s">
        <v>273</v>
      </c>
      <c r="H12" s="122" t="s">
        <v>219</v>
      </c>
      <c r="I12" s="122" t="s">
        <v>187</v>
      </c>
      <c r="J12" s="121"/>
      <c r="K12" s="121"/>
      <c r="L12" s="123">
        <v>46152</v>
      </c>
      <c r="M12" s="123">
        <v>46153</v>
      </c>
      <c r="N12" s="120" t="s">
        <v>287</v>
      </c>
      <c r="O12" s="120">
        <v>4</v>
      </c>
      <c r="P12" s="124">
        <v>21.3</v>
      </c>
      <c r="Q12" s="122" t="s">
        <v>188</v>
      </c>
      <c r="R12" s="122">
        <v>112</v>
      </c>
      <c r="S12" s="125">
        <v>46155</v>
      </c>
      <c r="T12" s="124">
        <v>14.3</v>
      </c>
    </row>
    <row r="13" spans="1:20" s="126" customFormat="1" ht="19.8" customHeight="1" x14ac:dyDescent="0.3">
      <c r="A13" s="120">
        <v>12</v>
      </c>
      <c r="B13" s="121" t="s">
        <v>79</v>
      </c>
      <c r="C13" s="121" t="s">
        <v>167</v>
      </c>
      <c r="D13" s="121" t="s">
        <v>7</v>
      </c>
      <c r="E13" s="122">
        <v>9566837201</v>
      </c>
      <c r="F13" s="122"/>
      <c r="G13" s="120" t="s">
        <v>139</v>
      </c>
      <c r="H13" s="122" t="s">
        <v>263</v>
      </c>
      <c r="I13" s="122" t="s">
        <v>190</v>
      </c>
      <c r="J13" s="121"/>
      <c r="K13" s="121"/>
      <c r="L13" s="123">
        <v>46152</v>
      </c>
      <c r="M13" s="123">
        <v>46153</v>
      </c>
      <c r="N13" s="120" t="s">
        <v>287</v>
      </c>
      <c r="O13" s="120">
        <v>2</v>
      </c>
      <c r="P13" s="124">
        <v>11.3</v>
      </c>
      <c r="Q13" s="122" t="s">
        <v>188</v>
      </c>
      <c r="R13" s="120">
        <v>113</v>
      </c>
      <c r="S13" s="125">
        <v>46155</v>
      </c>
      <c r="T13" s="124">
        <v>14.3</v>
      </c>
    </row>
    <row r="14" spans="1:20" s="126" customFormat="1" ht="19.8" customHeight="1" x14ac:dyDescent="0.3">
      <c r="A14" s="120">
        <v>13</v>
      </c>
      <c r="B14" s="121" t="s">
        <v>52</v>
      </c>
      <c r="C14" s="121" t="s">
        <v>37</v>
      </c>
      <c r="D14" s="121" t="s">
        <v>151</v>
      </c>
      <c r="E14" s="120">
        <v>94144081899</v>
      </c>
      <c r="F14" s="120">
        <v>9414465690</v>
      </c>
      <c r="G14" s="120" t="s">
        <v>122</v>
      </c>
      <c r="H14" s="122" t="s">
        <v>229</v>
      </c>
      <c r="I14" s="122" t="s">
        <v>187</v>
      </c>
      <c r="J14" s="121"/>
      <c r="K14" s="121"/>
      <c r="L14" s="123">
        <v>46152</v>
      </c>
      <c r="M14" s="123">
        <v>46153</v>
      </c>
      <c r="N14" s="120" t="s">
        <v>287</v>
      </c>
      <c r="O14" s="120">
        <v>2</v>
      </c>
      <c r="P14" s="124">
        <v>19.3</v>
      </c>
      <c r="Q14" s="122" t="s">
        <v>188</v>
      </c>
      <c r="R14" s="122">
        <v>114</v>
      </c>
      <c r="S14" s="125">
        <v>46155</v>
      </c>
      <c r="T14" s="124">
        <v>14.3</v>
      </c>
    </row>
    <row r="15" spans="1:20" s="126" customFormat="1" ht="19.8" customHeight="1" x14ac:dyDescent="0.3">
      <c r="A15" s="120">
        <v>14</v>
      </c>
      <c r="B15" s="121" t="s">
        <v>223</v>
      </c>
      <c r="C15" s="121" t="s">
        <v>51</v>
      </c>
      <c r="D15" s="127"/>
      <c r="E15" s="122">
        <v>9821405665</v>
      </c>
      <c r="F15" s="122"/>
      <c r="G15" s="122" t="s">
        <v>119</v>
      </c>
      <c r="H15" s="122" t="s">
        <v>186</v>
      </c>
      <c r="I15" s="122" t="s">
        <v>115</v>
      </c>
      <c r="J15" s="128"/>
      <c r="K15" s="128">
        <v>46151</v>
      </c>
      <c r="L15" s="123">
        <v>46152</v>
      </c>
      <c r="M15" s="123">
        <v>46153</v>
      </c>
      <c r="N15" s="120" t="s">
        <v>287</v>
      </c>
      <c r="O15" s="122">
        <v>2</v>
      </c>
      <c r="P15" s="129">
        <v>14.3</v>
      </c>
      <c r="Q15" s="122" t="s">
        <v>188</v>
      </c>
      <c r="R15" s="122">
        <v>201</v>
      </c>
      <c r="S15" s="128">
        <v>46156</v>
      </c>
      <c r="T15" s="129">
        <v>9.3000000000000007</v>
      </c>
    </row>
    <row r="16" spans="1:20" s="126" customFormat="1" ht="19.8" customHeight="1" x14ac:dyDescent="0.3">
      <c r="A16" s="120">
        <v>16</v>
      </c>
      <c r="B16" s="121" t="s">
        <v>14</v>
      </c>
      <c r="C16" s="121" t="s">
        <v>36</v>
      </c>
      <c r="D16" s="121" t="s">
        <v>153</v>
      </c>
      <c r="E16" s="120">
        <v>9769970955</v>
      </c>
      <c r="F16" s="120"/>
      <c r="G16" s="120" t="s">
        <v>122</v>
      </c>
      <c r="H16" s="122" t="s">
        <v>229</v>
      </c>
      <c r="I16" s="122" t="s">
        <v>187</v>
      </c>
      <c r="J16" s="121"/>
      <c r="K16" s="121"/>
      <c r="L16" s="123">
        <v>46152</v>
      </c>
      <c r="M16" s="123">
        <v>46153</v>
      </c>
      <c r="N16" s="120" t="s">
        <v>287</v>
      </c>
      <c r="O16" s="120">
        <v>3</v>
      </c>
      <c r="P16" s="124">
        <v>19.3</v>
      </c>
      <c r="Q16" s="122" t="s">
        <v>188</v>
      </c>
      <c r="R16" s="120">
        <v>203</v>
      </c>
      <c r="S16" s="125">
        <v>46155</v>
      </c>
      <c r="T16" s="124">
        <v>14.3</v>
      </c>
    </row>
    <row r="17" spans="1:20" s="126" customFormat="1" ht="19.8" customHeight="1" x14ac:dyDescent="0.3">
      <c r="A17" s="120">
        <v>17</v>
      </c>
      <c r="B17" s="121" t="s">
        <v>54</v>
      </c>
      <c r="C17" s="121" t="s">
        <v>55</v>
      </c>
      <c r="D17" s="121" t="s">
        <v>282</v>
      </c>
      <c r="E17" s="120">
        <v>8619175149</v>
      </c>
      <c r="F17" s="120"/>
      <c r="G17" s="120" t="s">
        <v>122</v>
      </c>
      <c r="H17" s="122" t="s">
        <v>212</v>
      </c>
      <c r="I17" s="122" t="s">
        <v>115</v>
      </c>
      <c r="J17" s="121"/>
      <c r="K17" s="121"/>
      <c r="L17" s="123">
        <v>46152</v>
      </c>
      <c r="M17" s="123">
        <v>46153</v>
      </c>
      <c r="N17" s="120" t="s">
        <v>287</v>
      </c>
      <c r="O17" s="120">
        <v>3</v>
      </c>
      <c r="P17" s="124">
        <v>19.3</v>
      </c>
      <c r="Q17" s="122" t="s">
        <v>188</v>
      </c>
      <c r="R17" s="120">
        <v>110</v>
      </c>
      <c r="S17" s="125">
        <v>46155</v>
      </c>
      <c r="T17" s="124">
        <v>14.3</v>
      </c>
    </row>
    <row r="18" spans="1:20" s="126" customFormat="1" ht="19.8" customHeight="1" x14ac:dyDescent="0.3">
      <c r="A18" s="120">
        <v>18</v>
      </c>
      <c r="B18" s="121" t="s">
        <v>56</v>
      </c>
      <c r="C18" s="121" t="s">
        <v>57</v>
      </c>
      <c r="D18" s="121" t="s">
        <v>26</v>
      </c>
      <c r="E18" s="120">
        <v>7387512348</v>
      </c>
      <c r="F18" s="120"/>
      <c r="G18" s="120" t="s">
        <v>218</v>
      </c>
      <c r="H18" s="122" t="s">
        <v>259</v>
      </c>
      <c r="I18" s="122" t="s">
        <v>228</v>
      </c>
      <c r="J18" s="121"/>
      <c r="K18" s="121"/>
      <c r="L18" s="123">
        <v>46152</v>
      </c>
      <c r="M18" s="123">
        <v>46153</v>
      </c>
      <c r="N18" s="120" t="s">
        <v>287</v>
      </c>
      <c r="O18" s="120">
        <v>3</v>
      </c>
      <c r="P18" s="124">
        <v>11.3</v>
      </c>
      <c r="Q18" s="122" t="s">
        <v>188</v>
      </c>
      <c r="R18" s="120">
        <v>205</v>
      </c>
      <c r="S18" s="125">
        <v>46155</v>
      </c>
      <c r="T18" s="124">
        <v>14.3</v>
      </c>
    </row>
    <row r="19" spans="1:20" s="126" customFormat="1" ht="19.8" customHeight="1" x14ac:dyDescent="0.3">
      <c r="A19" s="120">
        <v>19</v>
      </c>
      <c r="B19" s="121" t="s">
        <v>154</v>
      </c>
      <c r="C19" s="121" t="s">
        <v>62</v>
      </c>
      <c r="D19" s="127"/>
      <c r="E19" s="122">
        <v>9850875856</v>
      </c>
      <c r="F19" s="122"/>
      <c r="G19" s="120" t="s">
        <v>122</v>
      </c>
      <c r="H19" s="122" t="s">
        <v>217</v>
      </c>
      <c r="I19" s="122" t="s">
        <v>187</v>
      </c>
      <c r="J19" s="121"/>
      <c r="K19" s="121"/>
      <c r="L19" s="123">
        <v>46152</v>
      </c>
      <c r="M19" s="123">
        <v>46153</v>
      </c>
      <c r="N19" s="120" t="s">
        <v>287</v>
      </c>
      <c r="O19" s="120">
        <v>2</v>
      </c>
      <c r="P19" s="124">
        <v>19.3</v>
      </c>
      <c r="Q19" s="122" t="s">
        <v>188</v>
      </c>
      <c r="R19" s="122">
        <v>206</v>
      </c>
      <c r="S19" s="125">
        <v>46155</v>
      </c>
      <c r="T19" s="124">
        <v>14.3</v>
      </c>
    </row>
    <row r="20" spans="1:20" s="126" customFormat="1" ht="19.8" customHeight="1" x14ac:dyDescent="0.3">
      <c r="A20" s="120">
        <v>20</v>
      </c>
      <c r="B20" s="121" t="s">
        <v>69</v>
      </c>
      <c r="C20" s="121" t="s">
        <v>290</v>
      </c>
      <c r="D20" s="121"/>
      <c r="E20" s="120">
        <v>9314681121</v>
      </c>
      <c r="F20" s="120"/>
      <c r="G20" s="120" t="s">
        <v>122</v>
      </c>
      <c r="H20" s="122" t="s">
        <v>229</v>
      </c>
      <c r="I20" s="122" t="s">
        <v>187</v>
      </c>
      <c r="J20" s="121"/>
      <c r="K20" s="121"/>
      <c r="L20" s="123">
        <v>46152</v>
      </c>
      <c r="M20" s="123">
        <v>46153</v>
      </c>
      <c r="N20" s="120" t="s">
        <v>287</v>
      </c>
      <c r="O20" s="120">
        <v>2</v>
      </c>
      <c r="P20" s="124">
        <v>19.3</v>
      </c>
      <c r="Q20" s="122" t="s">
        <v>188</v>
      </c>
      <c r="R20" s="122">
        <v>207</v>
      </c>
      <c r="S20" s="125">
        <v>46155</v>
      </c>
      <c r="T20" s="124">
        <v>14.3</v>
      </c>
    </row>
    <row r="21" spans="1:20" s="126" customFormat="1" ht="19.8" customHeight="1" x14ac:dyDescent="0.3">
      <c r="A21" s="120">
        <v>21</v>
      </c>
      <c r="B21" s="121" t="s">
        <v>72</v>
      </c>
      <c r="C21" s="121" t="s">
        <v>246</v>
      </c>
      <c r="D21" s="121"/>
      <c r="E21" s="120"/>
      <c r="F21" s="120"/>
      <c r="G21" s="120" t="s">
        <v>218</v>
      </c>
      <c r="H21" s="122" t="s">
        <v>260</v>
      </c>
      <c r="I21" s="122" t="s">
        <v>185</v>
      </c>
      <c r="J21" s="121"/>
      <c r="K21" s="121"/>
      <c r="L21" s="123">
        <v>46152</v>
      </c>
      <c r="M21" s="123">
        <v>46153</v>
      </c>
      <c r="N21" s="120" t="s">
        <v>287</v>
      </c>
      <c r="O21" s="120">
        <v>2</v>
      </c>
      <c r="P21" s="124">
        <v>19.3</v>
      </c>
      <c r="Q21" s="122" t="s">
        <v>188</v>
      </c>
      <c r="R21" s="120">
        <v>208</v>
      </c>
      <c r="S21" s="125">
        <v>46155</v>
      </c>
      <c r="T21" s="124">
        <v>14.3</v>
      </c>
    </row>
    <row r="22" spans="1:20" s="126" customFormat="1" ht="19.8" customHeight="1" x14ac:dyDescent="0.3">
      <c r="A22" s="120">
        <v>22</v>
      </c>
      <c r="B22" s="121" t="s">
        <v>12</v>
      </c>
      <c r="C22" s="121" t="s">
        <v>193</v>
      </c>
      <c r="D22" s="121"/>
      <c r="E22" s="120">
        <v>9351965112</v>
      </c>
      <c r="F22" s="120"/>
      <c r="G22" s="120" t="s">
        <v>122</v>
      </c>
      <c r="H22" s="122" t="s">
        <v>229</v>
      </c>
      <c r="I22" s="122" t="s">
        <v>187</v>
      </c>
      <c r="J22" s="121"/>
      <c r="K22" s="121"/>
      <c r="L22" s="123">
        <v>46152</v>
      </c>
      <c r="M22" s="123">
        <v>46153</v>
      </c>
      <c r="N22" s="120" t="s">
        <v>287</v>
      </c>
      <c r="O22" s="120">
        <v>2</v>
      </c>
      <c r="P22" s="124">
        <v>19.3</v>
      </c>
      <c r="Q22" s="122" t="s">
        <v>188</v>
      </c>
      <c r="R22" s="122">
        <v>213</v>
      </c>
      <c r="S22" s="125">
        <v>46155</v>
      </c>
      <c r="T22" s="124">
        <v>14.3</v>
      </c>
    </row>
    <row r="23" spans="1:20" s="126" customFormat="1" ht="19.8" customHeight="1" x14ac:dyDescent="0.3">
      <c r="A23" s="120">
        <v>23</v>
      </c>
      <c r="B23" s="121" t="s">
        <v>76</v>
      </c>
      <c r="C23" s="121" t="s">
        <v>0</v>
      </c>
      <c r="D23" s="121" t="s">
        <v>282</v>
      </c>
      <c r="E23" s="120"/>
      <c r="F23" s="120"/>
      <c r="G23" s="120" t="s">
        <v>218</v>
      </c>
      <c r="H23" s="122" t="s">
        <v>252</v>
      </c>
      <c r="I23" s="122" t="s">
        <v>251</v>
      </c>
      <c r="J23" s="121"/>
      <c r="K23" s="121"/>
      <c r="L23" s="123">
        <v>46152</v>
      </c>
      <c r="M23" s="123">
        <v>46153</v>
      </c>
      <c r="N23" s="120" t="s">
        <v>287</v>
      </c>
      <c r="O23" s="120">
        <v>3</v>
      </c>
      <c r="P23" s="124">
        <v>17</v>
      </c>
      <c r="Q23" s="122" t="s">
        <v>188</v>
      </c>
      <c r="R23" s="122">
        <v>211</v>
      </c>
      <c r="S23" s="125">
        <v>46155</v>
      </c>
      <c r="T23" s="124">
        <v>14.3</v>
      </c>
    </row>
    <row r="24" spans="1:20" s="126" customFormat="1" ht="19.8" customHeight="1" x14ac:dyDescent="0.3">
      <c r="A24" s="120">
        <v>24</v>
      </c>
      <c r="B24" s="121" t="s">
        <v>250</v>
      </c>
      <c r="C24" s="121" t="s">
        <v>39</v>
      </c>
      <c r="D24" s="121" t="s">
        <v>31</v>
      </c>
      <c r="E24" s="120"/>
      <c r="F24" s="120"/>
      <c r="G24" s="120" t="s">
        <v>218</v>
      </c>
      <c r="H24" s="122" t="s">
        <v>252</v>
      </c>
      <c r="I24" s="122" t="s">
        <v>251</v>
      </c>
      <c r="J24" s="121"/>
      <c r="K24" s="121"/>
      <c r="L24" s="123">
        <v>46152</v>
      </c>
      <c r="M24" s="123">
        <v>46153</v>
      </c>
      <c r="N24" s="120" t="s">
        <v>287</v>
      </c>
      <c r="O24" s="120">
        <v>3</v>
      </c>
      <c r="P24" s="124">
        <v>17</v>
      </c>
      <c r="Q24" s="122" t="s">
        <v>188</v>
      </c>
      <c r="R24" s="122">
        <v>212</v>
      </c>
      <c r="S24" s="125">
        <v>46155</v>
      </c>
      <c r="T24" s="124">
        <v>14.3</v>
      </c>
    </row>
    <row r="25" spans="1:20" s="126" customFormat="1" ht="19.8" customHeight="1" x14ac:dyDescent="0.3">
      <c r="A25" s="120">
        <v>25</v>
      </c>
      <c r="B25" s="121" t="s">
        <v>155</v>
      </c>
      <c r="C25" s="121" t="s">
        <v>156</v>
      </c>
      <c r="D25" s="121" t="s">
        <v>157</v>
      </c>
      <c r="E25" s="120"/>
      <c r="F25" s="120"/>
      <c r="G25" s="120" t="s">
        <v>218</v>
      </c>
      <c r="H25" s="122" t="s">
        <v>260</v>
      </c>
      <c r="I25" s="122" t="s">
        <v>185</v>
      </c>
      <c r="J25" s="121"/>
      <c r="K25" s="121"/>
      <c r="L25" s="123">
        <v>46152</v>
      </c>
      <c r="M25" s="123">
        <v>46153</v>
      </c>
      <c r="N25" s="120" t="s">
        <v>287</v>
      </c>
      <c r="O25" s="120">
        <v>3</v>
      </c>
      <c r="P25" s="124">
        <v>19.3</v>
      </c>
      <c r="Q25" s="122" t="s">
        <v>188</v>
      </c>
      <c r="R25" s="120">
        <v>210</v>
      </c>
      <c r="S25" s="125">
        <v>46155</v>
      </c>
      <c r="T25" s="124">
        <v>14.3</v>
      </c>
    </row>
    <row r="26" spans="1:20" s="126" customFormat="1" ht="19.8" customHeight="1" x14ac:dyDescent="0.3">
      <c r="A26" s="120">
        <v>26</v>
      </c>
      <c r="B26" s="121" t="s">
        <v>11</v>
      </c>
      <c r="C26" s="121" t="s">
        <v>281</v>
      </c>
      <c r="D26" s="121" t="s">
        <v>152</v>
      </c>
      <c r="E26" s="120">
        <v>9177037777</v>
      </c>
      <c r="F26" s="120"/>
      <c r="G26" s="120" t="s">
        <v>139</v>
      </c>
      <c r="H26" s="122" t="s">
        <v>263</v>
      </c>
      <c r="I26" s="122" t="s">
        <v>225</v>
      </c>
      <c r="J26" s="121"/>
      <c r="K26" s="123"/>
      <c r="L26" s="125"/>
      <c r="M26" s="123">
        <v>46153</v>
      </c>
      <c r="N26" s="120" t="s">
        <v>287</v>
      </c>
      <c r="O26" s="120">
        <v>3</v>
      </c>
      <c r="P26" s="124">
        <v>5.3</v>
      </c>
      <c r="Q26" s="122" t="s">
        <v>188</v>
      </c>
      <c r="R26" s="120">
        <v>204</v>
      </c>
      <c r="S26" s="125">
        <v>46155</v>
      </c>
      <c r="T26" s="124">
        <v>14.3</v>
      </c>
    </row>
    <row r="27" spans="1:20" s="126" customFormat="1" ht="18" customHeight="1" x14ac:dyDescent="0.3">
      <c r="A27" s="120">
        <f t="shared" ref="A27" si="0">A26+1</f>
        <v>27</v>
      </c>
      <c r="B27" s="121" t="s">
        <v>18</v>
      </c>
      <c r="C27" s="121" t="s">
        <v>17</v>
      </c>
      <c r="D27" s="121"/>
      <c r="E27" s="120"/>
      <c r="F27" s="120"/>
      <c r="G27" s="120" t="s">
        <v>213</v>
      </c>
      <c r="H27" s="122" t="s">
        <v>228</v>
      </c>
      <c r="I27" s="122" t="s">
        <v>234</v>
      </c>
      <c r="J27" s="120"/>
      <c r="K27" s="121"/>
      <c r="L27" s="121"/>
      <c r="M27" s="123">
        <v>46153</v>
      </c>
      <c r="N27" s="123">
        <v>46154</v>
      </c>
      <c r="O27" s="120">
        <v>2</v>
      </c>
      <c r="P27" s="124">
        <v>15.3</v>
      </c>
      <c r="Q27" s="122" t="s">
        <v>188</v>
      </c>
      <c r="R27" s="120">
        <v>202</v>
      </c>
      <c r="S27" s="125">
        <v>46155</v>
      </c>
      <c r="T27" s="124">
        <v>14.3</v>
      </c>
    </row>
    <row r="28" spans="1:20" ht="19.8" customHeight="1" x14ac:dyDescent="0.3">
      <c r="A28" s="67"/>
      <c r="B28" s="67"/>
      <c r="C28" s="67"/>
      <c r="D28" s="67"/>
      <c r="E28" s="66"/>
      <c r="F28" s="66"/>
      <c r="G28" s="66"/>
      <c r="H28" s="66"/>
      <c r="I28" s="66"/>
      <c r="J28" s="82">
        <v>1</v>
      </c>
      <c r="K28" s="82">
        <v>3</v>
      </c>
      <c r="L28" s="82">
        <v>23</v>
      </c>
      <c r="M28" s="82">
        <v>23</v>
      </c>
      <c r="N28" s="82">
        <v>23</v>
      </c>
      <c r="O28" s="66"/>
      <c r="P28" s="66"/>
      <c r="Q28" s="66"/>
      <c r="R28" s="66"/>
      <c r="S28" s="67"/>
      <c r="T28" s="66"/>
    </row>
    <row r="30" spans="1:20" x14ac:dyDescent="0.3">
      <c r="B30" s="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ROOM LIST</vt:lpstr>
      <vt:lpstr>FINAL</vt:lpstr>
      <vt:lpstr>1</vt:lpstr>
      <vt:lpstr>KAMLA PLACE</vt:lpstr>
      <vt:lpstr>MANSIGA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 Dadhich</dc:creator>
  <cp:lastModifiedBy>Arihant Impeex</cp:lastModifiedBy>
  <dcterms:created xsi:type="dcterms:W3CDTF">2015-06-05T18:17:20Z</dcterms:created>
  <dcterms:modified xsi:type="dcterms:W3CDTF">2026-05-09T11:31:19Z</dcterms:modified>
</cp:coreProperties>
</file>